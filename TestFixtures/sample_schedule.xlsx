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leks/Desktop/"/>
    </mc:Choice>
  </mc:AlternateContent>
  <xr:revisionPtr revIDLastSave="0" documentId="13_ncr:1_{45A44D16-7940-FF4C-B7B4-E38E4BAC880F}" xr6:coauthVersionLast="47" xr6:coauthVersionMax="47" xr10:uidLastSave="{00000000-0000-0000-0000-000000000000}"/>
  <bookViews>
    <workbookView xWindow="4420" yWindow="640" windowWidth="24980" windowHeight="17520" xr2:uid="{00000000-000D-0000-FFFF-FFFF00000000}"/>
  </bookViews>
  <sheets>
    <sheet name="listopad" sheetId="1" r:id="rId1"/>
    <sheet name="Sheet1" sheetId="2" r:id="rId2"/>
  </sheets>
  <calcPr calcId="191029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MKCLZwggmT+hJo1lBgn8QtKf5JRmShClcRODn9nFXPU="/>
    </ext>
  </extLst>
</workbook>
</file>

<file path=xl/calcChain.xml><?xml version="1.0" encoding="utf-8"?>
<calcChain xmlns="http://schemas.openxmlformats.org/spreadsheetml/2006/main">
  <c r="H40" i="1" l="1" a="1"/>
  <c r="H40" i="1" s="1"/>
  <c r="Q13" i="1"/>
  <c r="Q15" i="1"/>
  <c r="I28" i="1" a="1"/>
  <c r="I28" i="1" s="1"/>
  <c r="G28" i="1" a="1"/>
  <c r="G28" i="1" s="1"/>
  <c r="C28" i="1" a="1"/>
  <c r="C28" i="1" s="1"/>
  <c r="G15" i="1" a="1"/>
  <c r="G15" i="1" s="1"/>
  <c r="G16" i="1" a="1"/>
  <c r="G16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K10" i="1" a="1"/>
  <c r="K10" i="1" s="1"/>
  <c r="O55" i="1" a="1"/>
  <c r="O55" i="1" s="1"/>
  <c r="O72" i="1" a="1"/>
  <c r="O72" i="1" s="1"/>
  <c r="O71" i="1" a="1"/>
  <c r="O71" i="1" s="1"/>
  <c r="O70" i="1" a="1"/>
  <c r="O70" i="1" s="1"/>
  <c r="O69" i="1" a="1"/>
  <c r="O69" i="1" s="1"/>
  <c r="O68" i="1" a="1"/>
  <c r="O68" i="1" s="1"/>
  <c r="O67" i="1" a="1"/>
  <c r="O67" i="1" s="1"/>
  <c r="O66" i="1" a="1"/>
  <c r="O66" i="1" s="1"/>
  <c r="O65" i="1" a="1"/>
  <c r="O65" i="1" s="1"/>
  <c r="M72" i="1" a="1"/>
  <c r="M72" i="1" s="1"/>
  <c r="M71" i="1" a="1"/>
  <c r="M71" i="1" s="1"/>
  <c r="M70" i="1" a="1"/>
  <c r="M70" i="1" s="1"/>
  <c r="M68" i="1" a="1"/>
  <c r="M68" i="1" s="1"/>
  <c r="M67" i="1" a="1"/>
  <c r="M67" i="1" s="1"/>
  <c r="M66" i="1" a="1"/>
  <c r="M66" i="1" s="1"/>
  <c r="M65" i="1" a="1"/>
  <c r="M65" i="1" s="1"/>
  <c r="K72" i="1" a="1"/>
  <c r="K72" i="1" s="1"/>
  <c r="K71" i="1" a="1"/>
  <c r="K71" i="1" s="1"/>
  <c r="K70" i="1" a="1"/>
  <c r="K70" i="1" s="1"/>
  <c r="K69" i="1" a="1"/>
  <c r="K69" i="1" s="1"/>
  <c r="K68" i="1" a="1"/>
  <c r="K68" i="1" s="1"/>
  <c r="K66" i="1" a="1"/>
  <c r="K66" i="1" s="1"/>
  <c r="K65" i="1" a="1"/>
  <c r="K65" i="1" s="1"/>
  <c r="I72" i="1" a="1"/>
  <c r="I72" i="1" s="1"/>
  <c r="I71" i="1" a="1"/>
  <c r="I71" i="1" s="1"/>
  <c r="I70" i="1" a="1"/>
  <c r="I70" i="1" s="1"/>
  <c r="I69" i="1" a="1"/>
  <c r="I69" i="1" s="1"/>
  <c r="I68" i="1" a="1"/>
  <c r="I68" i="1" s="1"/>
  <c r="I66" i="1" a="1"/>
  <c r="I66" i="1" s="1"/>
  <c r="I65" i="1" a="1"/>
  <c r="I65" i="1" s="1"/>
  <c r="G72" i="1" a="1"/>
  <c r="G72" i="1" s="1"/>
  <c r="G71" i="1" a="1"/>
  <c r="G71" i="1" s="1"/>
  <c r="G70" i="1" a="1"/>
  <c r="G70" i="1" s="1"/>
  <c r="G69" i="1" a="1"/>
  <c r="G69" i="1" s="1"/>
  <c r="G68" i="1" a="1"/>
  <c r="G68" i="1" s="1"/>
  <c r="G66" i="1" a="1"/>
  <c r="G66" i="1" s="1"/>
  <c r="G65" i="1" a="1"/>
  <c r="G65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C72" i="1" a="1"/>
  <c r="C72" i="1" s="1"/>
  <c r="C71" i="1" a="1"/>
  <c r="C71" i="1" s="1"/>
  <c r="C70" i="1" a="1"/>
  <c r="C70" i="1" s="1"/>
  <c r="C69" i="1" a="1"/>
  <c r="C69" i="1" s="1"/>
  <c r="C68" i="1" a="1"/>
  <c r="C68" i="1" s="1"/>
  <c r="C67" i="1" a="1"/>
  <c r="C67" i="1" s="1"/>
  <c r="C66" i="1" a="1"/>
  <c r="C66" i="1" s="1"/>
  <c r="C65" i="1" a="1"/>
  <c r="C65" i="1" s="1"/>
  <c r="C58" i="1" a="1"/>
  <c r="C58" i="1" s="1"/>
  <c r="C57" i="1" a="1"/>
  <c r="C57" i="1" s="1"/>
  <c r="C56" i="1" a="1"/>
  <c r="C56" i="1" s="1"/>
  <c r="C55" i="1" a="1"/>
  <c r="C55" i="1" s="1"/>
  <c r="C54" i="1" a="1"/>
  <c r="C54" i="1" s="1"/>
  <c r="C53" i="1" a="1"/>
  <c r="C53" i="1" s="1"/>
  <c r="C52" i="1" a="1"/>
  <c r="C52" i="1" s="1"/>
  <c r="C51" i="1" a="1"/>
  <c r="C51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G58" i="1" a="1"/>
  <c r="G58" i="1" s="1"/>
  <c r="G57" i="1" a="1"/>
  <c r="G57" i="1" s="1"/>
  <c r="G56" i="1" a="1"/>
  <c r="G56" i="1" s="1"/>
  <c r="G55" i="1" a="1"/>
  <c r="G55" i="1" s="1"/>
  <c r="G54" i="1" a="1"/>
  <c r="G54" i="1" s="1"/>
  <c r="G53" i="1" a="1"/>
  <c r="G53" i="1" s="1"/>
  <c r="G52" i="1" a="1"/>
  <c r="G52" i="1" s="1"/>
  <c r="G51" i="1" a="1"/>
  <c r="G51" i="1" s="1"/>
  <c r="I58" i="1" a="1"/>
  <c r="I58" i="1" s="1"/>
  <c r="I57" i="1" a="1"/>
  <c r="I57" i="1" s="1"/>
  <c r="I56" i="1" a="1"/>
  <c r="I56" i="1" s="1"/>
  <c r="I55" i="1" a="1"/>
  <c r="I55" i="1" s="1"/>
  <c r="I54" i="1" a="1"/>
  <c r="I54" i="1" s="1"/>
  <c r="I53" i="1" a="1"/>
  <c r="I53" i="1" s="1"/>
  <c r="I52" i="1" a="1"/>
  <c r="I52" i="1" s="1"/>
  <c r="I51" i="1" a="1"/>
  <c r="I51" i="1" s="1"/>
  <c r="K58" i="1" a="1"/>
  <c r="K58" i="1" s="1"/>
  <c r="K57" i="1" a="1"/>
  <c r="K57" i="1" s="1"/>
  <c r="K56" i="1" a="1"/>
  <c r="K56" i="1" s="1"/>
  <c r="K55" i="1" a="1"/>
  <c r="K55" i="1" s="1"/>
  <c r="K54" i="1" a="1"/>
  <c r="K54" i="1" s="1"/>
  <c r="K53" i="1" a="1"/>
  <c r="K53" i="1" s="1"/>
  <c r="K52" i="1" a="1"/>
  <c r="K52" i="1" s="1"/>
  <c r="K51" i="1" a="1"/>
  <c r="K51" i="1" s="1"/>
  <c r="M58" i="1" a="1"/>
  <c r="M58" i="1" s="1"/>
  <c r="M57" i="1" a="1"/>
  <c r="M57" i="1" s="1"/>
  <c r="M56" i="1" a="1"/>
  <c r="M56" i="1" s="1"/>
  <c r="M55" i="1" a="1"/>
  <c r="M55" i="1" s="1"/>
  <c r="M53" i="1" a="1"/>
  <c r="M53" i="1" s="1"/>
  <c r="M52" i="1" a="1"/>
  <c r="M52" i="1" s="1"/>
  <c r="M51" i="1" a="1"/>
  <c r="M51" i="1" s="1"/>
  <c r="O58" i="1" a="1"/>
  <c r="O58" i="1" s="1"/>
  <c r="O57" i="1" a="1"/>
  <c r="O57" i="1" s="1"/>
  <c r="O56" i="1" a="1"/>
  <c r="O56" i="1" s="1"/>
  <c r="O54" i="1" a="1"/>
  <c r="O54" i="1" s="1"/>
  <c r="O53" i="1" a="1"/>
  <c r="O53" i="1" s="1"/>
  <c r="O52" i="1" a="1"/>
  <c r="O52" i="1" s="1"/>
  <c r="O51" i="1" a="1"/>
  <c r="O51" i="1" s="1"/>
  <c r="O44" i="1" a="1"/>
  <c r="O44" i="1" s="1"/>
  <c r="O43" i="1" a="1"/>
  <c r="O43" i="1" s="1"/>
  <c r="O42" i="1" a="1"/>
  <c r="O42" i="1" s="1"/>
  <c r="O41" i="1" a="1"/>
  <c r="O41" i="1" s="1"/>
  <c r="O40" i="1" a="1"/>
  <c r="O40" i="1" s="1"/>
  <c r="O39" i="1" a="1"/>
  <c r="O39" i="1" s="1"/>
  <c r="O38" i="1" a="1"/>
  <c r="O38" i="1" s="1"/>
  <c r="O37" i="1" a="1"/>
  <c r="O37" i="1" s="1"/>
  <c r="M44" i="1" a="1"/>
  <c r="M44" i="1" s="1"/>
  <c r="M43" i="1" a="1"/>
  <c r="M43" i="1" s="1"/>
  <c r="M42" i="1" a="1"/>
  <c r="M42" i="1" s="1"/>
  <c r="M41" i="1" a="1"/>
  <c r="M41" i="1" s="1"/>
  <c r="M40" i="1" a="1"/>
  <c r="M40" i="1" s="1"/>
  <c r="M39" i="1" a="1"/>
  <c r="M39" i="1" s="1"/>
  <c r="M38" i="1" a="1"/>
  <c r="M38" i="1" s="1"/>
  <c r="M37" i="1" a="1"/>
  <c r="M37" i="1" s="1"/>
  <c r="K44" i="1" a="1"/>
  <c r="K44" i="1" s="1"/>
  <c r="K43" i="1" a="1"/>
  <c r="K43" i="1" s="1"/>
  <c r="K41" i="1" a="1"/>
  <c r="K41" i="1" s="1"/>
  <c r="K40" i="1" a="1"/>
  <c r="K40" i="1" s="1"/>
  <c r="K39" i="1" a="1"/>
  <c r="K39" i="1" s="1"/>
  <c r="K38" i="1" a="1"/>
  <c r="K38" i="1" s="1"/>
  <c r="K37" i="1" a="1"/>
  <c r="K37" i="1" s="1"/>
  <c r="I44" i="1" a="1"/>
  <c r="I44" i="1" s="1"/>
  <c r="I43" i="1" a="1"/>
  <c r="I43" i="1" s="1"/>
  <c r="I41" i="1" a="1"/>
  <c r="I41" i="1" s="1"/>
  <c r="I39" i="1" a="1"/>
  <c r="I39" i="1" s="1"/>
  <c r="I38" i="1" a="1"/>
  <c r="I38" i="1" s="1"/>
  <c r="I37" i="1" a="1"/>
  <c r="I37" i="1" s="1"/>
  <c r="G44" i="1" a="1"/>
  <c r="G44" i="1" s="1"/>
  <c r="G43" i="1" a="1"/>
  <c r="G43" i="1" s="1"/>
  <c r="G41" i="1" a="1"/>
  <c r="G41" i="1" s="1"/>
  <c r="G40" i="1" a="1"/>
  <c r="G40" i="1" s="1"/>
  <c r="G39" i="1" a="1"/>
  <c r="G39" i="1" s="1"/>
  <c r="G38" i="1" a="1"/>
  <c r="G38" i="1" s="1"/>
  <c r="G37" i="1" a="1"/>
  <c r="G37" i="1" s="1"/>
  <c r="E44" i="1" a="1"/>
  <c r="E44" i="1" s="1"/>
  <c r="E43" i="1" a="1"/>
  <c r="E43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C44" i="1" a="1"/>
  <c r="C44" i="1" s="1"/>
  <c r="C43" i="1" a="1"/>
  <c r="C43" i="1" s="1"/>
  <c r="C41" i="1" a="1"/>
  <c r="C41" i="1" s="1"/>
  <c r="C40" i="1" a="1"/>
  <c r="C40" i="1" s="1"/>
  <c r="C39" i="1" a="1"/>
  <c r="C39" i="1" s="1"/>
  <c r="C38" i="1" a="1"/>
  <c r="C38" i="1" s="1"/>
  <c r="C37" i="1" a="1"/>
  <c r="C37" i="1" s="1"/>
  <c r="C30" i="1" a="1"/>
  <c r="C30" i="1" s="1"/>
  <c r="C29" i="1" a="1"/>
  <c r="C29" i="1" s="1"/>
  <c r="C27" i="1" a="1"/>
  <c r="C27" i="1" s="1"/>
  <c r="C26" i="1" a="1"/>
  <c r="C26" i="1" s="1"/>
  <c r="C25" i="1" a="1"/>
  <c r="C25" i="1" s="1"/>
  <c r="C24" i="1" a="1"/>
  <c r="C24" i="1" s="1"/>
  <c r="C23" i="1" a="1"/>
  <c r="C23" i="1" s="1"/>
  <c r="E30" i="1" a="1"/>
  <c r="E30" i="1" s="1"/>
  <c r="E29" i="1" a="1"/>
  <c r="E29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G29" i="1" a="1"/>
  <c r="G29" i="1" s="1"/>
  <c r="G27" i="1" a="1"/>
  <c r="G27" i="1" s="1"/>
  <c r="G26" i="1" a="1"/>
  <c r="G26" i="1" s="1"/>
  <c r="G25" i="1" a="1"/>
  <c r="G25" i="1" s="1"/>
  <c r="G24" i="1" a="1"/>
  <c r="G24" i="1" s="1"/>
  <c r="G23" i="1" a="1"/>
  <c r="G23" i="1" s="1"/>
  <c r="I30" i="1" a="1"/>
  <c r="I30" i="1" s="1"/>
  <c r="I29" i="1" a="1"/>
  <c r="I29" i="1" s="1"/>
  <c r="I27" i="1" a="1"/>
  <c r="I27" i="1" s="1"/>
  <c r="I26" i="1" a="1"/>
  <c r="I26" i="1" s="1"/>
  <c r="I25" i="1" a="1"/>
  <c r="I25" i="1" s="1"/>
  <c r="I24" i="1" a="1"/>
  <c r="I24" i="1" s="1"/>
  <c r="I23" i="1" a="1"/>
  <c r="I23" i="1" s="1"/>
  <c r="K30" i="1" a="1"/>
  <c r="K30" i="1" s="1"/>
  <c r="K29" i="1" a="1"/>
  <c r="K29" i="1" s="1"/>
  <c r="K27" i="1" a="1"/>
  <c r="K27" i="1" s="1"/>
  <c r="K26" i="1" a="1"/>
  <c r="K26" i="1" s="1"/>
  <c r="K25" i="1" a="1"/>
  <c r="K25" i="1" s="1"/>
  <c r="K24" i="1" a="1"/>
  <c r="K24" i="1" s="1"/>
  <c r="K23" i="1" a="1"/>
  <c r="K23" i="1" s="1"/>
  <c r="M30" i="1" a="1"/>
  <c r="M30" i="1" s="1"/>
  <c r="M29" i="1" a="1"/>
  <c r="M29" i="1" s="1"/>
  <c r="M28" i="1" a="1"/>
  <c r="M28" i="1" s="1"/>
  <c r="M27" i="1" a="1"/>
  <c r="M27" i="1" s="1"/>
  <c r="M26" i="1" a="1"/>
  <c r="M26" i="1" s="1"/>
  <c r="M25" i="1" a="1"/>
  <c r="M25" i="1" s="1"/>
  <c r="M24" i="1" a="1"/>
  <c r="M24" i="1" s="1"/>
  <c r="M23" i="1" a="1"/>
  <c r="M23" i="1" s="1"/>
  <c r="O30" i="1" a="1"/>
  <c r="O30" i="1" s="1"/>
  <c r="O29" i="1" a="1"/>
  <c r="O29" i="1" s="1"/>
  <c r="O28" i="1" a="1"/>
  <c r="O28" i="1" s="1"/>
  <c r="O27" i="1" a="1"/>
  <c r="O27" i="1" s="1"/>
  <c r="O26" i="1" a="1"/>
  <c r="O26" i="1" s="1"/>
  <c r="O25" i="1" a="1"/>
  <c r="O25" i="1" s="1"/>
  <c r="O24" i="1" a="1"/>
  <c r="O24" i="1" s="1"/>
  <c r="O23" i="1" a="1"/>
  <c r="O23" i="1" s="1"/>
  <c r="O16" i="1" a="1"/>
  <c r="O16" i="1" s="1"/>
  <c r="O15" i="1" a="1"/>
  <c r="O15" i="1" s="1"/>
  <c r="O14" i="1" a="1"/>
  <c r="O14" i="1" s="1"/>
  <c r="O13" i="1" a="1"/>
  <c r="O13" i="1" s="1"/>
  <c r="O12" i="1" a="1"/>
  <c r="O12" i="1" s="1"/>
  <c r="O11" i="1" a="1"/>
  <c r="O11" i="1" s="1"/>
  <c r="O10" i="1" a="1"/>
  <c r="O10" i="1" s="1"/>
  <c r="O9" i="1" a="1"/>
  <c r="O9" i="1" s="1"/>
  <c r="M16" i="1" a="1"/>
  <c r="M16" i="1" s="1"/>
  <c r="M15" i="1" a="1"/>
  <c r="M15" i="1" s="1"/>
  <c r="M14" i="1" a="1"/>
  <c r="M14" i="1" s="1"/>
  <c r="M13" i="1" a="1"/>
  <c r="M13" i="1" s="1"/>
  <c r="M12" i="1" a="1"/>
  <c r="M12" i="1" s="1"/>
  <c r="M11" i="1" a="1"/>
  <c r="M11" i="1" s="1"/>
  <c r="M10" i="1" a="1"/>
  <c r="M10" i="1" s="1"/>
  <c r="M9" i="1" a="1"/>
  <c r="M9" i="1" s="1"/>
  <c r="K16" i="1" a="1"/>
  <c r="K16" i="1" s="1"/>
  <c r="K15" i="1" a="1"/>
  <c r="K15" i="1" s="1"/>
  <c r="K14" i="1" a="1"/>
  <c r="K14" i="1" s="1"/>
  <c r="K13" i="1" a="1"/>
  <c r="K13" i="1" s="1"/>
  <c r="K12" i="1" a="1"/>
  <c r="K12" i="1" s="1"/>
  <c r="K11" i="1" a="1"/>
  <c r="K11" i="1" s="1"/>
  <c r="K9" i="1" a="1"/>
  <c r="K9" i="1" s="1"/>
  <c r="I10" i="1" a="1"/>
  <c r="I10" i="1" s="1"/>
  <c r="I9" i="1" a="1"/>
  <c r="I9" i="1" s="1"/>
  <c r="G14" i="1" a="1"/>
  <c r="G14" i="1" s="1"/>
  <c r="G13" i="1" a="1"/>
  <c r="G13" i="1" s="1"/>
  <c r="G12" i="1" a="1"/>
  <c r="G12" i="1" s="1"/>
  <c r="G11" i="1" a="1"/>
  <c r="G11" i="1" s="1"/>
  <c r="G10" i="1" a="1"/>
  <c r="G10" i="1" s="1"/>
  <c r="G9" i="1" a="1"/>
  <c r="G9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C14" i="1" a="1"/>
  <c r="C14" i="1" s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P59" i="1"/>
  <c r="P60" i="1"/>
  <c r="P61" i="1"/>
  <c r="P31" i="1"/>
  <c r="P32" i="1"/>
  <c r="P33" i="1"/>
  <c r="P17" i="1"/>
  <c r="P18" i="1"/>
  <c r="P19" i="1"/>
  <c r="P69" i="1" l="1"/>
  <c r="P67" i="1"/>
  <c r="P66" i="1"/>
  <c r="P70" i="1"/>
  <c r="P71" i="1"/>
  <c r="P68" i="1"/>
  <c r="P72" i="1"/>
  <c r="P55" i="1"/>
  <c r="P52" i="1"/>
  <c r="P56" i="1"/>
  <c r="P53" i="1"/>
  <c r="P57" i="1"/>
  <c r="P54" i="1"/>
  <c r="P58" i="1"/>
  <c r="P41" i="1"/>
  <c r="P38" i="1"/>
  <c r="P42" i="1"/>
  <c r="P39" i="1"/>
  <c r="P43" i="1"/>
  <c r="P40" i="1"/>
  <c r="Q12" i="1" s="1"/>
  <c r="P44" i="1"/>
  <c r="P28" i="1"/>
  <c r="P30" i="1"/>
  <c r="P29" i="1"/>
  <c r="P24" i="1"/>
  <c r="P27" i="1"/>
  <c r="P26" i="1"/>
  <c r="P25" i="1"/>
  <c r="P14" i="1"/>
  <c r="P15" i="1"/>
  <c r="P11" i="1"/>
  <c r="P13" i="1"/>
  <c r="P16" i="1"/>
  <c r="P12" i="1"/>
  <c r="S10" i="1"/>
  <c r="Q14" i="1" l="1"/>
  <c r="H76" i="1"/>
  <c r="L62" i="1"/>
  <c r="D91" i="1" l="1"/>
  <c r="B91" i="1"/>
  <c r="P90" i="1"/>
  <c r="A90" i="1"/>
  <c r="P89" i="1"/>
  <c r="P88" i="1"/>
  <c r="P87" i="1"/>
  <c r="P86" i="1"/>
  <c r="P85" i="1"/>
  <c r="P84" i="1"/>
  <c r="P83" i="1"/>
  <c r="P82" i="1"/>
  <c r="P81" i="1"/>
  <c r="P80" i="1"/>
  <c r="P79" i="1"/>
  <c r="N76" i="1"/>
  <c r="L76" i="1"/>
  <c r="J76" i="1"/>
  <c r="F76" i="1"/>
  <c r="D76" i="1"/>
  <c r="B76" i="1"/>
  <c r="P75" i="1"/>
  <c r="P74" i="1"/>
  <c r="P73" i="1"/>
  <c r="P65" i="1"/>
  <c r="A65" i="1"/>
  <c r="N62" i="1"/>
  <c r="J62" i="1"/>
  <c r="H62" i="1"/>
  <c r="F62" i="1"/>
  <c r="D62" i="1"/>
  <c r="B62" i="1"/>
  <c r="P51" i="1"/>
  <c r="N48" i="1"/>
  <c r="L48" i="1"/>
  <c r="J48" i="1"/>
  <c r="H48" i="1"/>
  <c r="F48" i="1"/>
  <c r="D48" i="1"/>
  <c r="B48" i="1"/>
  <c r="P47" i="1"/>
  <c r="P46" i="1"/>
  <c r="P45" i="1"/>
  <c r="P37" i="1"/>
  <c r="N34" i="1"/>
  <c r="L34" i="1"/>
  <c r="J34" i="1"/>
  <c r="H34" i="1"/>
  <c r="F34" i="1"/>
  <c r="D34" i="1"/>
  <c r="B34" i="1"/>
  <c r="A30" i="1"/>
  <c r="A44" i="1" s="1"/>
  <c r="A58" i="1" s="1"/>
  <c r="A72" i="1" s="1"/>
  <c r="A86" i="1" s="1"/>
  <c r="A29" i="1"/>
  <c r="A43" i="1" s="1"/>
  <c r="A57" i="1" s="1"/>
  <c r="A71" i="1" s="1"/>
  <c r="A85" i="1" s="1"/>
  <c r="A28" i="1"/>
  <c r="A42" i="1" s="1"/>
  <c r="A56" i="1" s="1"/>
  <c r="A70" i="1" s="1"/>
  <c r="A84" i="1" s="1"/>
  <c r="A27" i="1"/>
  <c r="A41" i="1" s="1"/>
  <c r="A55" i="1" s="1"/>
  <c r="A69" i="1" s="1"/>
  <c r="A83" i="1" s="1"/>
  <c r="A26" i="1"/>
  <c r="A40" i="1" s="1"/>
  <c r="A54" i="1" s="1"/>
  <c r="A68" i="1" s="1"/>
  <c r="A82" i="1" s="1"/>
  <c r="A25" i="1"/>
  <c r="A39" i="1" s="1"/>
  <c r="A53" i="1" s="1"/>
  <c r="A67" i="1" s="1"/>
  <c r="A81" i="1" s="1"/>
  <c r="A24" i="1"/>
  <c r="A38" i="1" s="1"/>
  <c r="A52" i="1" s="1"/>
  <c r="A66" i="1" s="1"/>
  <c r="A80" i="1" s="1"/>
  <c r="P23" i="1"/>
  <c r="A23" i="1"/>
  <c r="A37" i="1" s="1"/>
  <c r="A51" i="1" s="1"/>
  <c r="R20" i="1"/>
  <c r="N20" i="1"/>
  <c r="L20" i="1"/>
  <c r="J20" i="1"/>
  <c r="H20" i="1"/>
  <c r="F20" i="1"/>
  <c r="D20" i="1"/>
  <c r="Q18" i="1" l="1"/>
  <c r="S18" i="1" s="1"/>
  <c r="Q19" i="1"/>
  <c r="P91" i="1"/>
  <c r="Q17" i="1"/>
  <c r="S17" i="1" s="1"/>
  <c r="P76" i="1"/>
  <c r="P62" i="1"/>
  <c r="S12" i="1"/>
  <c r="S13" i="1"/>
  <c r="P48" i="1"/>
  <c r="S15" i="1"/>
  <c r="S14" i="1"/>
  <c r="P34" i="1"/>
  <c r="Q16" i="1"/>
  <c r="S16" i="1" s="1"/>
  <c r="A79" i="1"/>
  <c r="P10" i="1"/>
  <c r="Q10" i="1" s="1"/>
  <c r="P9" i="1"/>
  <c r="Q9" i="1" s="1"/>
  <c r="S9" i="1" s="1"/>
  <c r="B20" i="1"/>
  <c r="P2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<sst xmlns="http://schemas.openxmlformats.org/spreadsheetml/2006/main" count="349" uniqueCount="64">
  <si>
    <t>WYMIAR GODZIN</t>
  </si>
  <si>
    <t>Name</t>
  </si>
  <si>
    <t>Shift</t>
  </si>
  <si>
    <t>Hrs</t>
  </si>
  <si>
    <t>shift</t>
  </si>
  <si>
    <t>Total Hours</t>
  </si>
  <si>
    <t xml:space="preserve">Total Month </t>
  </si>
  <si>
    <t>Max</t>
  </si>
  <si>
    <t>overtime</t>
  </si>
  <si>
    <t>Total Paid</t>
  </si>
  <si>
    <t xml:space="preserve"> </t>
  </si>
  <si>
    <t>total hours</t>
  </si>
  <si>
    <t>8-16</t>
  </si>
  <si>
    <t>14-22</t>
  </si>
  <si>
    <t>12-20</t>
  </si>
  <si>
    <t>11-19</t>
  </si>
  <si>
    <t>16-22</t>
  </si>
  <si>
    <t>PONIEDZIAŁEK</t>
  </si>
  <si>
    <t>WTOREK</t>
  </si>
  <si>
    <t>ŚRODA</t>
  </si>
  <si>
    <t>CZWARTEK</t>
  </si>
  <si>
    <t>PIĄTEK</t>
  </si>
  <si>
    <t>SOBOTA</t>
  </si>
  <si>
    <t>NIEDZIELA</t>
  </si>
  <si>
    <t>7-15</t>
  </si>
  <si>
    <t>PROŚBY</t>
  </si>
  <si>
    <t>w</t>
  </si>
  <si>
    <t>rfid</t>
  </si>
  <si>
    <t>9-17</t>
  </si>
  <si>
    <t>ND/SWIĘTO</t>
  </si>
  <si>
    <t>15-22</t>
  </si>
  <si>
    <t>HANDLOWE</t>
  </si>
  <si>
    <t>10-20</t>
  </si>
  <si>
    <t>u</t>
  </si>
  <si>
    <t>9-19</t>
  </si>
  <si>
    <t>urlop</t>
  </si>
  <si>
    <t>L4</t>
  </si>
  <si>
    <t>12-19</t>
  </si>
  <si>
    <t>8-18</t>
  </si>
  <si>
    <t>10-18</t>
  </si>
  <si>
    <t>HR call</t>
  </si>
  <si>
    <t>12-22</t>
  </si>
  <si>
    <t>8-14</t>
  </si>
  <si>
    <t>184/138/92</t>
  </si>
  <si>
    <t>23PRAC 8WOLNE</t>
  </si>
  <si>
    <t>8-17</t>
  </si>
  <si>
    <t>9-18</t>
  </si>
  <si>
    <t>12,-20</t>
  </si>
  <si>
    <t>11-19,</t>
  </si>
  <si>
    <t>12-20,</t>
  </si>
  <si>
    <t>17-22</t>
  </si>
  <si>
    <t>8-15</t>
  </si>
  <si>
    <t>8,-16,</t>
  </si>
  <si>
    <t>13-22</t>
  </si>
  <si>
    <t>9-16</t>
  </si>
  <si>
    <t>P1</t>
  </si>
  <si>
    <t>P2</t>
  </si>
  <si>
    <t>P3</t>
  </si>
  <si>
    <t>P4</t>
  </si>
  <si>
    <t>P5</t>
  </si>
  <si>
    <t>P6</t>
  </si>
  <si>
    <t>P7</t>
  </si>
  <si>
    <t>P8</t>
  </si>
  <si>
    <t>SHOP SKLEP ŁÓDŹ A1005 KWIECIEN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</si>
</sst>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9"/>
      <color theme="0"/>
      <name val="Arial"/>
      <family val="2"/>
    </font>
    <font>
      <sz val="11"/>
      <color theme="0"/>
      <name val="Calibri"/>
      <family val="2"/>
      <scheme val="minor"/>
    </font>
    <font>
      <sz val="9"/>
      <color theme="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7F7F7F"/>
        <bgColor rgb="FF7F7F7F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rgb="FF3A3838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E7E6E6"/>
      </patternFill>
    </fill>
    <fill>
      <patternFill patternType="solid">
        <fgColor theme="1" tint="0.499984740745262"/>
        <bgColor rgb="FF3A3838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rgb="FF3A383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3A3838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55BA5"/>
        <bgColor indexed="64"/>
      </patternFill>
    </fill>
    <fill>
      <patternFill patternType="solid">
        <fgColor rgb="FFFFFF00"/>
        <bgColor rgb="FF3A3838"/>
      </patternFill>
    </fill>
    <fill>
      <patternFill patternType="solid">
        <fgColor rgb="FF00B0F0"/>
        <bgColor rgb="FF3A3838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16" fontId="7" fillId="0" borderId="0" xfId="0" applyNumberFormat="1" applyFont="1"/>
    <xf numFmtId="0" fontId="8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" fontId="8" fillId="5" borderId="1" xfId="0" applyNumberFormat="1" applyFont="1" applyFill="1" applyBorder="1"/>
    <xf numFmtId="49" fontId="7" fillId="5" borderId="1" xfId="0" applyNumberFormat="1" applyFont="1" applyFill="1" applyBorder="1" applyAlignment="1">
      <alignment horizontal="center"/>
    </xf>
    <xf numFmtId="2" fontId="7" fillId="5" borderId="1" xfId="0" applyNumberFormat="1" applyFont="1" applyFill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left"/>
    </xf>
    <xf numFmtId="2" fontId="7" fillId="0" borderId="1" xfId="0" applyNumberFormat="1" applyFont="1" applyBorder="1"/>
    <xf numFmtId="1" fontId="7" fillId="6" borderId="1" xfId="0" applyNumberFormat="1" applyFont="1" applyFill="1" applyBorder="1" applyAlignment="1">
      <alignment horizontal="center"/>
    </xf>
    <xf numFmtId="2" fontId="8" fillId="5" borderId="5" xfId="0" applyNumberFormat="1" applyFont="1" applyFill="1" applyBorder="1" applyAlignment="1">
      <alignment horizontal="center"/>
    </xf>
    <xf numFmtId="0" fontId="7" fillId="0" borderId="1" xfId="0" applyFont="1" applyBorder="1"/>
    <xf numFmtId="1" fontId="7" fillId="0" borderId="1" xfId="0" applyNumberFormat="1" applyFont="1" applyBorder="1"/>
    <xf numFmtId="2" fontId="8" fillId="5" borderId="5" xfId="0" applyNumberFormat="1" applyFont="1" applyFill="1" applyBorder="1" applyAlignment="1">
      <alignment horizontal="center" vertical="center"/>
    </xf>
    <xf numFmtId="0" fontId="10" fillId="0" borderId="0" xfId="0" applyFont="1"/>
    <xf numFmtId="2" fontId="7" fillId="6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" fontId="8" fillId="6" borderId="4" xfId="0" applyNumberFormat="1" applyFont="1" applyFill="1" applyBorder="1" applyAlignment="1">
      <alignment horizontal="center"/>
    </xf>
    <xf numFmtId="2" fontId="8" fillId="6" borderId="4" xfId="0" applyNumberFormat="1" applyFont="1" applyFill="1" applyBorder="1" applyAlignment="1">
      <alignment horizontal="center"/>
    </xf>
    <xf numFmtId="2" fontId="8" fillId="6" borderId="1" xfId="0" applyNumberFormat="1" applyFont="1" applyFill="1" applyBorder="1" applyAlignment="1">
      <alignment horizontal="center"/>
    </xf>
    <xf numFmtId="1" fontId="8" fillId="5" borderId="1" xfId="0" applyNumberFormat="1" applyFont="1" applyFill="1" applyBorder="1" applyAlignment="1">
      <alignment vertical="center"/>
    </xf>
    <xf numFmtId="2" fontId="8" fillId="5" borderId="1" xfId="0" applyNumberFormat="1" applyFont="1" applyFill="1" applyBorder="1" applyAlignment="1">
      <alignment horizontal="center" vertical="center"/>
    </xf>
    <xf numFmtId="2" fontId="8" fillId="5" borderId="4" xfId="0" applyNumberFormat="1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11" xfId="0" applyFont="1" applyBorder="1"/>
    <xf numFmtId="0" fontId="11" fillId="0" borderId="0" xfId="0" applyFont="1"/>
    <xf numFmtId="0" fontId="8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7" fillId="0" borderId="6" xfId="0" applyFont="1" applyBorder="1"/>
    <xf numFmtId="1" fontId="7" fillId="0" borderId="10" xfId="0" applyNumberFormat="1" applyFont="1" applyBorder="1" applyAlignment="1">
      <alignment horizontal="left"/>
    </xf>
    <xf numFmtId="0" fontId="7" fillId="0" borderId="10" xfId="0" applyFont="1" applyBorder="1"/>
    <xf numFmtId="1" fontId="7" fillId="0" borderId="6" xfId="0" applyNumberFormat="1" applyFont="1" applyBorder="1"/>
    <xf numFmtId="0" fontId="8" fillId="2" borderId="8" xfId="0" applyFont="1" applyFill="1" applyBorder="1"/>
    <xf numFmtId="0" fontId="8" fillId="2" borderId="14" xfId="0" applyFont="1" applyFill="1" applyBorder="1"/>
    <xf numFmtId="0" fontId="8" fillId="5" borderId="16" xfId="0" applyFont="1" applyFill="1" applyBorder="1"/>
    <xf numFmtId="0" fontId="7" fillId="2" borderId="17" xfId="0" applyFont="1" applyFill="1" applyBorder="1"/>
    <xf numFmtId="0" fontId="7" fillId="11" borderId="20" xfId="0" applyFont="1" applyFill="1" applyBorder="1"/>
    <xf numFmtId="0" fontId="8" fillId="3" borderId="21" xfId="0" applyFont="1" applyFill="1" applyBorder="1" applyAlignment="1">
      <alignment horizontal="left"/>
    </xf>
    <xf numFmtId="0" fontId="8" fillId="3" borderId="22" xfId="0" applyFont="1" applyFill="1" applyBorder="1" applyAlignment="1">
      <alignment horizontal="center" vertical="center"/>
    </xf>
    <xf numFmtId="1" fontId="8" fillId="5" borderId="21" xfId="0" applyNumberFormat="1" applyFont="1" applyFill="1" applyBorder="1"/>
    <xf numFmtId="2" fontId="8" fillId="0" borderId="22" xfId="0" applyNumberFormat="1" applyFont="1" applyBorder="1" applyAlignment="1">
      <alignment horizontal="center"/>
    </xf>
    <xf numFmtId="2" fontId="8" fillId="5" borderId="22" xfId="0" applyNumberFormat="1" applyFont="1" applyFill="1" applyBorder="1" applyAlignment="1">
      <alignment horizontal="center"/>
    </xf>
    <xf numFmtId="1" fontId="8" fillId="7" borderId="21" xfId="0" applyNumberFormat="1" applyFont="1" applyFill="1" applyBorder="1" applyAlignment="1">
      <alignment vertical="center"/>
    </xf>
    <xf numFmtId="2" fontId="8" fillId="0" borderId="22" xfId="0" applyNumberFormat="1" applyFont="1" applyBorder="1" applyAlignment="1">
      <alignment horizontal="center" vertical="center"/>
    </xf>
    <xf numFmtId="0" fontId="8" fillId="2" borderId="21" xfId="0" applyFont="1" applyFill="1" applyBorder="1"/>
    <xf numFmtId="0" fontId="7" fillId="0" borderId="22" xfId="0" applyFont="1" applyBorder="1"/>
    <xf numFmtId="2" fontId="8" fillId="5" borderId="22" xfId="0" applyNumberFormat="1" applyFont="1" applyFill="1" applyBorder="1" applyAlignment="1">
      <alignment horizontal="center" vertical="center"/>
    </xf>
    <xf numFmtId="1" fontId="8" fillId="5" borderId="23" xfId="0" applyNumberFormat="1" applyFont="1" applyFill="1" applyBorder="1"/>
    <xf numFmtId="0" fontId="7" fillId="5" borderId="22" xfId="0" applyFont="1" applyFill="1" applyBorder="1"/>
    <xf numFmtId="1" fontId="8" fillId="7" borderId="24" xfId="0" applyNumberFormat="1" applyFont="1" applyFill="1" applyBorder="1" applyAlignment="1">
      <alignment vertical="center"/>
    </xf>
    <xf numFmtId="2" fontId="8" fillId="5" borderId="28" xfId="0" applyNumberFormat="1" applyFont="1" applyFill="1" applyBorder="1" applyAlignment="1">
      <alignment horizontal="center" vertical="center"/>
    </xf>
    <xf numFmtId="0" fontId="3" fillId="0" borderId="0" xfId="0" applyFont="1"/>
    <xf numFmtId="2" fontId="7" fillId="8" borderId="1" xfId="0" applyNumberFormat="1" applyFont="1" applyFill="1" applyBorder="1" applyAlignment="1">
      <alignment horizontal="center"/>
    </xf>
    <xf numFmtId="0" fontId="6" fillId="0" borderId="0" xfId="0" applyFont="1"/>
    <xf numFmtId="0" fontId="4" fillId="0" borderId="0" xfId="0" applyFont="1"/>
    <xf numFmtId="0" fontId="6" fillId="0" borderId="6" xfId="0" applyFont="1" applyBorder="1"/>
    <xf numFmtId="0" fontId="1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49" fontId="7" fillId="13" borderId="1" xfId="0" applyNumberFormat="1" applyFont="1" applyFill="1" applyBorder="1" applyAlignment="1">
      <alignment horizontal="center"/>
    </xf>
    <xf numFmtId="49" fontId="7" fillId="14" borderId="1" xfId="0" applyNumberFormat="1" applyFont="1" applyFill="1" applyBorder="1" applyAlignment="1">
      <alignment horizontal="center"/>
    </xf>
    <xf numFmtId="2" fontId="7" fillId="14" borderId="1" xfId="0" applyNumberFormat="1" applyFont="1" applyFill="1" applyBorder="1" applyAlignment="1">
      <alignment horizontal="center"/>
    </xf>
    <xf numFmtId="2" fontId="7" fillId="15" borderId="1" xfId="0" applyNumberFormat="1" applyFont="1" applyFill="1" applyBorder="1" applyAlignment="1">
      <alignment horizontal="center"/>
    </xf>
    <xf numFmtId="49" fontId="7" fillId="15" borderId="1" xfId="0" applyNumberFormat="1" applyFont="1" applyFill="1" applyBorder="1" applyAlignment="1">
      <alignment horizontal="center"/>
    </xf>
    <xf numFmtId="49" fontId="13" fillId="15" borderId="1" xfId="0" applyNumberFormat="1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1" fontId="7" fillId="15" borderId="1" xfId="0" applyNumberFormat="1" applyFont="1" applyFill="1" applyBorder="1" applyAlignment="1">
      <alignment horizontal="center"/>
    </xf>
    <xf numFmtId="2" fontId="8" fillId="14" borderId="1" xfId="0" applyNumberFormat="1" applyFont="1" applyFill="1" applyBorder="1" applyAlignment="1">
      <alignment horizontal="center"/>
    </xf>
    <xf numFmtId="49" fontId="7" fillId="16" borderId="1" xfId="0" applyNumberFormat="1" applyFont="1" applyFill="1" applyBorder="1" applyAlignment="1">
      <alignment horizontal="center"/>
    </xf>
    <xf numFmtId="0" fontId="7" fillId="0" borderId="30" xfId="0" applyFont="1" applyBorder="1"/>
    <xf numFmtId="2" fontId="8" fillId="0" borderId="31" xfId="0" applyNumberFormat="1" applyFont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/>
    </xf>
    <xf numFmtId="1" fontId="8" fillId="17" borderId="1" xfId="0" applyNumberFormat="1" applyFont="1" applyFill="1" applyBorder="1"/>
    <xf numFmtId="49" fontId="7" fillId="17" borderId="1" xfId="0" applyNumberFormat="1" applyFont="1" applyFill="1" applyBorder="1" applyAlignment="1">
      <alignment horizontal="center"/>
    </xf>
    <xf numFmtId="2" fontId="7" fillId="17" borderId="1" xfId="0" applyNumberFormat="1" applyFont="1" applyFill="1" applyBorder="1" applyAlignment="1">
      <alignment horizontal="center"/>
    </xf>
    <xf numFmtId="0" fontId="6" fillId="17" borderId="6" xfId="0" applyFont="1" applyFill="1" applyBorder="1"/>
    <xf numFmtId="1" fontId="8" fillId="17" borderId="21" xfId="0" applyNumberFormat="1" applyFont="1" applyFill="1" applyBorder="1"/>
    <xf numFmtId="2" fontId="7" fillId="18" borderId="1" xfId="0" applyNumberFormat="1" applyFont="1" applyFill="1" applyBorder="1" applyAlignment="1">
      <alignment horizontal="center"/>
    </xf>
    <xf numFmtId="2" fontId="7" fillId="15" borderId="10" xfId="0" applyNumberFormat="1" applyFont="1" applyFill="1" applyBorder="1" applyAlignment="1">
      <alignment horizontal="center"/>
    </xf>
    <xf numFmtId="2" fontId="7" fillId="15" borderId="4" xfId="0" applyNumberFormat="1" applyFont="1" applyFill="1" applyBorder="1" applyAlignment="1">
      <alignment horizontal="center"/>
    </xf>
    <xf numFmtId="0" fontId="0" fillId="15" borderId="6" xfId="0" applyFill="1" applyBorder="1"/>
    <xf numFmtId="1" fontId="8" fillId="17" borderId="23" xfId="0" applyNumberFormat="1" applyFont="1" applyFill="1" applyBorder="1"/>
    <xf numFmtId="49" fontId="13" fillId="15" borderId="29" xfId="0" applyNumberFormat="1" applyFont="1" applyFill="1" applyBorder="1" applyAlignment="1">
      <alignment horizontal="center"/>
    </xf>
    <xf numFmtId="2" fontId="7" fillId="18" borderId="4" xfId="0" applyNumberFormat="1" applyFont="1" applyFill="1" applyBorder="1" applyAlignment="1">
      <alignment horizontal="center"/>
    </xf>
    <xf numFmtId="2" fontId="7" fillId="15" borderId="29" xfId="0" applyNumberFormat="1" applyFont="1" applyFill="1" applyBorder="1" applyAlignment="1">
      <alignment horizontal="center"/>
    </xf>
    <xf numFmtId="2" fontId="7" fillId="15" borderId="4" xfId="0" applyNumberFormat="1" applyFont="1" applyFill="1" applyBorder="1"/>
    <xf numFmtId="2" fontId="7" fillId="15" borderId="9" xfId="0" applyNumberFormat="1" applyFont="1" applyFill="1" applyBorder="1"/>
    <xf numFmtId="2" fontId="7" fillId="15" borderId="10" xfId="0" applyNumberFormat="1" applyFont="1" applyFill="1" applyBorder="1"/>
    <xf numFmtId="1" fontId="8" fillId="15" borderId="21" xfId="0" applyNumberFormat="1" applyFont="1" applyFill="1" applyBorder="1"/>
    <xf numFmtId="2" fontId="7" fillId="15" borderId="8" xfId="0" applyNumberFormat="1" applyFont="1" applyFill="1" applyBorder="1" applyAlignment="1">
      <alignment horizontal="center"/>
    </xf>
    <xf numFmtId="2" fontId="8" fillId="15" borderId="1" xfId="0" applyNumberFormat="1" applyFont="1" applyFill="1" applyBorder="1" applyAlignment="1">
      <alignment horizontal="center"/>
    </xf>
    <xf numFmtId="0" fontId="7" fillId="15" borderId="8" xfId="0" applyFont="1" applyFill="1" applyBorder="1" applyAlignment="1">
      <alignment horizontal="center"/>
    </xf>
    <xf numFmtId="2" fontId="7" fillId="17" borderId="4" xfId="0" applyNumberFormat="1" applyFont="1" applyFill="1" applyBorder="1" applyAlignment="1">
      <alignment horizontal="center"/>
    </xf>
    <xf numFmtId="0" fontId="8" fillId="0" borderId="6" xfId="0" applyFont="1" applyBorder="1"/>
    <xf numFmtId="49" fontId="7" fillId="8" borderId="1" xfId="0" applyNumberFormat="1" applyFont="1" applyFill="1" applyBorder="1" applyAlignment="1">
      <alignment horizontal="center"/>
    </xf>
    <xf numFmtId="49" fontId="14" fillId="8" borderId="1" xfId="0" applyNumberFormat="1" applyFont="1" applyFill="1" applyBorder="1" applyAlignment="1">
      <alignment horizontal="center"/>
    </xf>
    <xf numFmtId="49" fontId="7" fillId="19" borderId="1" xfId="0" applyNumberFormat="1" applyFont="1" applyFill="1" applyBorder="1" applyAlignment="1">
      <alignment horizontal="center"/>
    </xf>
    <xf numFmtId="49" fontId="14" fillId="19" borderId="1" xfId="0" applyNumberFormat="1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49" fontId="7" fillId="20" borderId="1" xfId="0" applyNumberFormat="1" applyFont="1" applyFill="1" applyBorder="1" applyAlignment="1">
      <alignment horizontal="center"/>
    </xf>
    <xf numFmtId="2" fontId="7" fillId="20" borderId="1" xfId="0" applyNumberFormat="1" applyFont="1" applyFill="1" applyBorder="1" applyAlignment="1">
      <alignment horizontal="center"/>
    </xf>
    <xf numFmtId="1" fontId="7" fillId="18" borderId="1" xfId="0" applyNumberFormat="1" applyFont="1" applyFill="1" applyBorder="1" applyAlignment="1">
      <alignment horizontal="center"/>
    </xf>
    <xf numFmtId="49" fontId="7" fillId="8" borderId="29" xfId="0" applyNumberFormat="1" applyFont="1" applyFill="1" applyBorder="1" applyAlignment="1">
      <alignment horizontal="center"/>
    </xf>
    <xf numFmtId="0" fontId="8" fillId="13" borderId="0" xfId="0" applyFont="1" applyFill="1" applyAlignment="1">
      <alignment horizontal="center"/>
    </xf>
    <xf numFmtId="16" fontId="0" fillId="0" borderId="0" xfId="0" applyNumberFormat="1"/>
    <xf numFmtId="0" fontId="15" fillId="19" borderId="0" xfId="0" applyFont="1" applyFill="1" applyAlignment="1">
      <alignment horizontal="center"/>
    </xf>
    <xf numFmtId="2" fontId="7" fillId="13" borderId="1" xfId="0" applyNumberFormat="1" applyFont="1" applyFill="1" applyBorder="1" applyAlignment="1">
      <alignment horizontal="center"/>
    </xf>
    <xf numFmtId="0" fontId="8" fillId="21" borderId="0" xfId="0" applyFont="1" applyFill="1" applyAlignment="1">
      <alignment horizontal="center" vertical="center"/>
    </xf>
    <xf numFmtId="0" fontId="8" fillId="22" borderId="0" xfId="0" applyFont="1" applyFill="1" applyAlignment="1">
      <alignment horizontal="center"/>
    </xf>
    <xf numFmtId="0" fontId="16" fillId="23" borderId="0" xfId="0" applyFont="1" applyFill="1" applyAlignment="1">
      <alignment horizontal="center" vertical="center"/>
    </xf>
    <xf numFmtId="49" fontId="7" fillId="16" borderId="29" xfId="0" applyNumberFormat="1" applyFont="1" applyFill="1" applyBorder="1" applyAlignment="1">
      <alignment horizontal="center"/>
    </xf>
    <xf numFmtId="0" fontId="8" fillId="24" borderId="0" xfId="0" applyFont="1" applyFill="1" applyAlignment="1">
      <alignment horizontal="center"/>
    </xf>
    <xf numFmtId="49" fontId="14" fillId="16" borderId="1" xfId="0" applyNumberFormat="1" applyFont="1" applyFill="1" applyBorder="1" applyAlignment="1">
      <alignment horizontal="center"/>
    </xf>
    <xf numFmtId="0" fontId="17" fillId="0" borderId="0" xfId="0" applyFont="1"/>
    <xf numFmtId="2" fontId="7" fillId="0" borderId="6" xfId="0" applyNumberFormat="1" applyFont="1" applyBorder="1"/>
    <xf numFmtId="0" fontId="8" fillId="0" borderId="6" xfId="0" applyFont="1" applyBorder="1" applyAlignment="1">
      <alignment horizontal="center" vertical="center"/>
    </xf>
    <xf numFmtId="49" fontId="18" fillId="8" borderId="1" xfId="0" applyNumberFormat="1" applyFont="1" applyFill="1" applyBorder="1" applyAlignment="1">
      <alignment horizontal="center"/>
    </xf>
    <xf numFmtId="2" fontId="18" fillId="20" borderId="1" xfId="0" applyNumberFormat="1" applyFont="1" applyFill="1" applyBorder="1" applyAlignment="1">
      <alignment horizontal="center"/>
    </xf>
    <xf numFmtId="49" fontId="14" fillId="20" borderId="1" xfId="0" applyNumberFormat="1" applyFont="1" applyFill="1" applyBorder="1" applyAlignment="1">
      <alignment horizontal="center"/>
    </xf>
    <xf numFmtId="49" fontId="14" fillId="13" borderId="1" xfId="0" applyNumberFormat="1" applyFont="1" applyFill="1" applyBorder="1" applyAlignment="1">
      <alignment horizontal="center"/>
    </xf>
    <xf numFmtId="2" fontId="14" fillId="20" borderId="1" xfId="0" applyNumberFormat="1" applyFont="1" applyFill="1" applyBorder="1" applyAlignment="1">
      <alignment horizontal="center"/>
    </xf>
    <xf numFmtId="49" fontId="7" fillId="25" borderId="1" xfId="0" applyNumberFormat="1" applyFont="1" applyFill="1" applyBorder="1" applyAlignment="1">
      <alignment horizontal="center"/>
    </xf>
    <xf numFmtId="49" fontId="7" fillId="21" borderId="1" xfId="0" applyNumberFormat="1" applyFont="1" applyFill="1" applyBorder="1" applyAlignment="1">
      <alignment horizontal="center"/>
    </xf>
    <xf numFmtId="2" fontId="7" fillId="26" borderId="1" xfId="0" applyNumberFormat="1" applyFont="1" applyFill="1" applyBorder="1" applyAlignment="1">
      <alignment horizontal="center"/>
    </xf>
    <xf numFmtId="49" fontId="7" fillId="21" borderId="6" xfId="0" applyNumberFormat="1" applyFont="1" applyFill="1" applyBorder="1" applyAlignment="1">
      <alignment horizontal="center"/>
    </xf>
    <xf numFmtId="16" fontId="7" fillId="21" borderId="6" xfId="0" applyNumberFormat="1" applyFont="1" applyFill="1" applyBorder="1" applyAlignment="1">
      <alignment horizontal="center"/>
    </xf>
    <xf numFmtId="49" fontId="14" fillId="21" borderId="1" xfId="0" applyNumberFormat="1" applyFont="1" applyFill="1" applyBorder="1" applyAlignment="1">
      <alignment horizontal="center"/>
    </xf>
    <xf numFmtId="49" fontId="7" fillId="21" borderId="29" xfId="0" applyNumberFormat="1" applyFont="1" applyFill="1" applyBorder="1" applyAlignment="1">
      <alignment horizontal="center"/>
    </xf>
    <xf numFmtId="2" fontId="7" fillId="25" borderId="1" xfId="0" applyNumberFormat="1" applyFont="1" applyFill="1" applyBorder="1" applyAlignment="1">
      <alignment horizontal="center"/>
    </xf>
    <xf numFmtId="17" fontId="7" fillId="16" borderId="1" xfId="0" applyNumberFormat="1" applyFont="1" applyFill="1" applyBorder="1" applyAlignment="1">
      <alignment horizontal="center"/>
    </xf>
    <xf numFmtId="2" fontId="8" fillId="7" borderId="25" xfId="0" applyNumberFormat="1" applyFont="1" applyFill="1" applyBorder="1" applyAlignment="1">
      <alignment horizontal="center" vertical="center"/>
    </xf>
    <xf numFmtId="0" fontId="9" fillId="0" borderId="26" xfId="0" applyFont="1" applyBorder="1"/>
    <xf numFmtId="0" fontId="9" fillId="0" borderId="27" xfId="0" applyFont="1" applyBorder="1"/>
    <xf numFmtId="164" fontId="8" fillId="2" borderId="14" xfId="0" applyNumberFormat="1" applyFont="1" applyFill="1" applyBorder="1" applyAlignment="1">
      <alignment horizontal="center"/>
    </xf>
    <xf numFmtId="0" fontId="9" fillId="0" borderId="15" xfId="0" applyFont="1" applyBorder="1"/>
    <xf numFmtId="2" fontId="8" fillId="5" borderId="2" xfId="0" applyNumberFormat="1" applyFont="1" applyFill="1" applyBorder="1" applyAlignment="1">
      <alignment horizontal="center" vertical="center"/>
    </xf>
    <xf numFmtId="0" fontId="9" fillId="0" borderId="3" xfId="0" applyFont="1" applyBorder="1"/>
    <xf numFmtId="164" fontId="8" fillId="2" borderId="4" xfId="0" applyNumberFormat="1" applyFont="1" applyFill="1" applyBorder="1" applyAlignment="1">
      <alignment horizontal="center" vertical="center"/>
    </xf>
    <xf numFmtId="0" fontId="9" fillId="0" borderId="10" xfId="0" applyFont="1" applyBorder="1"/>
    <xf numFmtId="2" fontId="8" fillId="7" borderId="4" xfId="0" applyNumberFormat="1" applyFont="1" applyFill="1" applyBorder="1" applyAlignment="1">
      <alignment horizontal="center" vertical="center"/>
    </xf>
    <xf numFmtId="0" fontId="9" fillId="0" borderId="7" xfId="0" applyFont="1" applyBorder="1"/>
    <xf numFmtId="164" fontId="8" fillId="9" borderId="18" xfId="0" applyNumberFormat="1" applyFont="1" applyFill="1" applyBorder="1" applyAlignment="1">
      <alignment horizontal="center" vertical="center"/>
    </xf>
    <xf numFmtId="0" fontId="9" fillId="10" borderId="19" xfId="0" applyFont="1" applyFill="1" applyBorder="1"/>
    <xf numFmtId="0" fontId="5" fillId="0" borderId="0" xfId="0" applyFont="1" applyAlignment="1">
      <alignment horizontal="center" vertical="center" wrapText="1"/>
    </xf>
    <xf numFmtId="0" fontId="0" fillId="0" borderId="0" xfId="0"/>
    <xf numFmtId="164" fontId="8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35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colors>
    <mruColors>
      <color rgb="FF955BA5"/>
      <color rgb="FFFF33CC"/>
      <color rgb="FFFF99CC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C1000"/>
  <sheetViews>
    <sheetView tabSelected="1" zoomScaleNormal="100" workbookViewId="0">
      <selection activeCell="N14" sqref="N14"/>
    </sheetView>
  </sheetViews>
  <sheetFormatPr baseColWidth="10" defaultColWidth="14.5" defaultRowHeight="15" customHeight="1" x14ac:dyDescent="0.2"/>
  <cols>
    <col min="1" max="1" width="23.33203125" customWidth="1"/>
    <col min="2" max="2" width="10.1640625" customWidth="1"/>
    <col min="3" max="3" width="5.5" customWidth="1"/>
    <col min="4" max="4" width="10.5" customWidth="1"/>
    <col min="5" max="5" width="5.5" customWidth="1"/>
    <col min="6" max="6" width="9.83203125" customWidth="1"/>
    <col min="7" max="7" width="5.5" customWidth="1"/>
    <col min="8" max="8" width="9.83203125" customWidth="1"/>
    <col min="9" max="9" width="5.5" customWidth="1"/>
    <col min="10" max="10" width="10.1640625" customWidth="1"/>
    <col min="11" max="11" width="5.5" customWidth="1"/>
    <col min="12" max="12" width="10.5" customWidth="1"/>
    <col min="13" max="13" width="5.5" customWidth="1"/>
    <col min="14" max="14" width="10.6640625" customWidth="1"/>
    <col min="15" max="15" width="5.5" customWidth="1"/>
    <col min="16" max="17" width="9.1640625" customWidth="1"/>
    <col min="18" max="18" width="10.6640625" customWidth="1"/>
    <col min="19" max="22" width="11.83203125" customWidth="1"/>
    <col min="23" max="23" width="8.83203125" customWidth="1"/>
    <col min="24" max="24" width="11.6640625" customWidth="1"/>
    <col min="25" max="30" width="8.6640625" customWidth="1"/>
  </cols>
  <sheetData>
    <row r="2" spans="1:24" ht="32.25" customHeight="1" x14ac:dyDescent="0.2">
      <c r="B2" s="154" t="s">
        <v>63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Q2" s="1"/>
      <c r="R2" s="2" t="s">
        <v>0</v>
      </c>
      <c r="S2" s="36" t="s">
        <v>43</v>
      </c>
      <c r="T2" s="36"/>
      <c r="U2" s="36"/>
      <c r="V2" s="36"/>
      <c r="W2" s="36"/>
    </row>
    <row r="4" spans="1:24" ht="15" customHeight="1" x14ac:dyDescent="0.2">
      <c r="S4" s="115" t="s">
        <v>44</v>
      </c>
      <c r="T4" s="115"/>
      <c r="U4" s="115"/>
      <c r="V4" s="115"/>
      <c r="W4" s="115"/>
    </row>
    <row r="5" spans="1:24" x14ac:dyDescent="0.2">
      <c r="A5" s="3"/>
      <c r="B5" s="4" t="s">
        <v>17</v>
      </c>
      <c r="C5" s="4"/>
      <c r="D5" s="4" t="s">
        <v>18</v>
      </c>
      <c r="E5" s="4"/>
      <c r="F5" s="4" t="s">
        <v>19</v>
      </c>
      <c r="G5" s="4"/>
      <c r="H5" s="4" t="s">
        <v>20</v>
      </c>
      <c r="I5" s="4"/>
      <c r="J5" s="4" t="s">
        <v>21</v>
      </c>
      <c r="K5" s="4"/>
      <c r="L5" s="4" t="s">
        <v>22</v>
      </c>
      <c r="M5" s="4"/>
      <c r="N5" s="4" t="s">
        <v>23</v>
      </c>
      <c r="O5" s="3"/>
      <c r="P5" s="3"/>
      <c r="Q5" s="3"/>
      <c r="R5" s="3"/>
      <c r="S5" s="3"/>
      <c r="T5" s="3"/>
      <c r="U5" s="3"/>
      <c r="V5" s="3"/>
      <c r="W5" s="3"/>
    </row>
    <row r="6" spans="1:24" ht="16" thickBot="1" x14ac:dyDescent="0.25">
      <c r="A6" s="3"/>
      <c r="B6" s="3"/>
      <c r="C6" s="3"/>
      <c r="D6" s="5"/>
      <c r="E6" s="3"/>
      <c r="F6" s="5"/>
      <c r="G6" s="3"/>
      <c r="H6" s="5"/>
      <c r="I6" s="3"/>
      <c r="J6" s="5"/>
      <c r="K6" s="3"/>
      <c r="L6" s="5"/>
      <c r="M6" s="3"/>
      <c r="N6" s="5"/>
      <c r="O6" s="3"/>
      <c r="P6" s="3"/>
      <c r="Q6" s="3"/>
      <c r="R6" s="3"/>
      <c r="S6" s="3"/>
      <c r="T6" s="3"/>
      <c r="U6" s="3"/>
      <c r="V6" s="3"/>
      <c r="W6" s="3"/>
    </row>
    <row r="7" spans="1:24" ht="28.5" customHeight="1" x14ac:dyDescent="0.2">
      <c r="A7" s="45"/>
      <c r="B7" s="152"/>
      <c r="C7" s="153"/>
      <c r="D7" s="152"/>
      <c r="E7" s="153"/>
      <c r="F7" s="152">
        <v>46204</v>
      </c>
      <c r="G7" s="153"/>
      <c r="H7" s="152">
        <v>46205</v>
      </c>
      <c r="I7" s="153"/>
      <c r="J7" s="152">
        <v>46206</v>
      </c>
      <c r="K7" s="153"/>
      <c r="L7" s="152">
        <v>46207</v>
      </c>
      <c r="M7" s="153"/>
      <c r="N7" s="152">
        <v>46208</v>
      </c>
      <c r="O7" s="153"/>
      <c r="P7" s="46"/>
      <c r="Q7" s="38"/>
      <c r="R7" s="3"/>
      <c r="S7" s="3"/>
      <c r="T7" s="3"/>
      <c r="U7" s="3"/>
      <c r="V7" s="3"/>
      <c r="W7" s="3"/>
    </row>
    <row r="8" spans="1:24" x14ac:dyDescent="0.2">
      <c r="A8" s="47" t="s">
        <v>1</v>
      </c>
      <c r="B8" s="35" t="s">
        <v>2</v>
      </c>
      <c r="C8" s="35" t="s">
        <v>3</v>
      </c>
      <c r="D8" s="35" t="s">
        <v>2</v>
      </c>
      <c r="E8" s="35" t="s">
        <v>3</v>
      </c>
      <c r="F8" s="35" t="s">
        <v>2</v>
      </c>
      <c r="G8" s="35" t="s">
        <v>3</v>
      </c>
      <c r="H8" s="35" t="s">
        <v>2</v>
      </c>
      <c r="I8" s="35" t="s">
        <v>3</v>
      </c>
      <c r="J8" s="6" t="s">
        <v>4</v>
      </c>
      <c r="K8" s="6" t="s">
        <v>3</v>
      </c>
      <c r="L8" s="6" t="s">
        <v>2</v>
      </c>
      <c r="M8" s="6" t="s">
        <v>3</v>
      </c>
      <c r="N8" s="6" t="s">
        <v>2</v>
      </c>
      <c r="O8" s="7" t="s">
        <v>3</v>
      </c>
      <c r="P8" s="48" t="s">
        <v>5</v>
      </c>
      <c r="Q8" s="8" t="s">
        <v>6</v>
      </c>
      <c r="R8" s="8" t="s">
        <v>7</v>
      </c>
      <c r="S8" s="8" t="s">
        <v>8</v>
      </c>
      <c r="T8" s="126"/>
      <c r="U8" s="126"/>
      <c r="V8" s="126"/>
      <c r="W8" s="126"/>
    </row>
    <row r="9" spans="1:24" x14ac:dyDescent="0.2">
      <c r="A9" s="49" t="s">
        <v>55</v>
      </c>
      <c r="B9" s="110"/>
      <c r="C9" s="111" t="str" cm="1">
        <f t="array" ref="C9">IF(B9="u",
8,
  IF(AND(ISNUMBER(--_xlfn.REGEXEXTRACT(B9,"^\d+")),
      ISNUMBER(--_xlfn.REGEXEXTRACT(B9,"\d+$"))),--_xlfn.REGEXEXTRACT(B9,"\d+$")---_xlfn.REGEXEXTRACT(B9,"^\d+"),
    ""))</f>
        <v/>
      </c>
      <c r="D9" s="110"/>
      <c r="E9" s="111" t="str" cm="1">
        <f t="array" ref="E9">IF(D9="u",
8,
  IF(AND(ISNUMBER(--_xlfn.REGEXEXTRACT(D9,"^\d+")),
      ISNUMBER(--_xlfn.REGEXEXTRACT(D9,"\d+$"))),--_xlfn.REGEXEXTRACT(D9,"\d+$")---_xlfn.REGEXEXTRACT(D9,"^\d+"),
    ""))</f>
        <v/>
      </c>
      <c r="F9" s="110" t="s">
        <v>45</v>
      </c>
      <c r="G9" s="111" cm="1">
        <f t="array" ref="G9">IF(F9="u",
8,
  IF(AND(ISNUMBER(--_xlfn.REGEXEXTRACT(F9,"^\d+")),
      ISNUMBER(--_xlfn.REGEXEXTRACT(F9,"\d+$"))),--_xlfn.REGEXEXTRACT(F9,"\d+$")---_xlfn.REGEXEXTRACT(F9,"^\d+"),
    ""))</f>
        <v>9</v>
      </c>
      <c r="H9" s="110" t="s">
        <v>45</v>
      </c>
      <c r="I9" s="111" cm="1">
        <f t="array" ref="I9">IF(H9="u",
8,
  IF(AND(ISNUMBER(--_xlfn.REGEXEXTRACT(H9,"^\d+")),
      ISNUMBER(--_xlfn.REGEXEXTRACT(H9,"\d+$"))),--_xlfn.REGEXEXTRACT(H9,"\d+$")---_xlfn.REGEXEXTRACT(H9,"^\d+"),
    ""))</f>
        <v>9</v>
      </c>
      <c r="J9" s="105" t="s">
        <v>26</v>
      </c>
      <c r="K9" s="111" t="str" cm="1">
        <f t="array" ref="K9">IF(J9="u",
8,
  IF(AND(ISNUMBER(--_xlfn.REGEXEXTRACT(J9,"^\d+")),
      ISNUMBER(--_xlfn.REGEXEXTRACT(J9,"\d+$"))),--_xlfn.REGEXEXTRACT(J9,"\d+$")---_xlfn.REGEXEXTRACT(J9,"^\d+"),
    ""))</f>
        <v/>
      </c>
      <c r="L9" s="107" t="s">
        <v>12</v>
      </c>
      <c r="M9" s="111" cm="1">
        <f t="array" ref="M9">IF(L9="u",
8,
  IF(AND(ISNUMBER(--_xlfn.REGEXEXTRACT(L9,"^\d+")),
      ISNUMBER(--_xlfn.REGEXEXTRACT(L9,"\d+$"))),--_xlfn.REGEXEXTRACT(L9,"\d+$")---_xlfn.REGEXEXTRACT(L9,"^\d+"),
    ""))</f>
        <v>8</v>
      </c>
      <c r="N9" s="69"/>
      <c r="O9" s="111" t="str" cm="1">
        <f t="array" ref="O9">IF(N9="u",
8,
  IF(AND(ISNUMBER(--_xlfn.REGEXEXTRACT(N9,"^\d+")),
      ISNUMBER(--_xlfn.REGEXEXTRACT(N9,"\d+$"))),--_xlfn.REGEXEXTRACT(N9,"\d+$")---_xlfn.REGEXEXTRACT(N9,"^\d+"),
    ""))</f>
        <v/>
      </c>
      <c r="P9" s="50">
        <f t="shared" ref="P9:P19" si="0">SUM(O9,M9,K9,I9,G9,E9,C9)</f>
        <v>26</v>
      </c>
      <c r="Q9" s="39">
        <f t="shared" ref="Q9:Q17" si="1">SUM(P9,P23,P37,P51,P65,P79)</f>
        <v>184</v>
      </c>
      <c r="R9" s="13">
        <v>184</v>
      </c>
      <c r="S9" s="14">
        <f t="shared" ref="S9:S18" si="2">-(R9-Q9)</f>
        <v>0</v>
      </c>
      <c r="T9" s="125"/>
      <c r="U9" s="125"/>
      <c r="V9" s="125"/>
      <c r="W9" s="125"/>
      <c r="X9" s="124">
        <v>8</v>
      </c>
    </row>
    <row r="10" spans="1:24" x14ac:dyDescent="0.2">
      <c r="A10" s="49" t="s">
        <v>56</v>
      </c>
      <c r="B10" s="110"/>
      <c r="C10" s="111" t="str" cm="1">
        <f t="array" ref="C10">IF(B10="u",
8,
  IF(AND(ISNUMBER(--_xlfn.REGEXEXTRACT(B10,"^\d+")),
      ISNUMBER(--_xlfn.REGEXEXTRACT(B10,"\d+$"))),--_xlfn.REGEXEXTRACT(B10,"\d+$")---_xlfn.REGEXEXTRACT(B10,"^\d+"),
    ""))</f>
        <v/>
      </c>
      <c r="D10" s="110"/>
      <c r="E10" s="111" t="str" cm="1">
        <f t="array" ref="E10">IF(D10="u",
8,
  IF(AND(ISNUMBER(--_xlfn.REGEXEXTRACT(D10,"^\d+")),
      ISNUMBER(--_xlfn.REGEXEXTRACT(D10,"\d+$"))),--_xlfn.REGEXEXTRACT(D10,"\d+$")---_xlfn.REGEXEXTRACT(D10,"^\d+"),
    ""))</f>
        <v/>
      </c>
      <c r="F10" s="110" t="s">
        <v>26</v>
      </c>
      <c r="G10" s="111" t="str" cm="1">
        <f t="array" ref="G10">IF(F10="u",
8,
  IF(AND(ISNUMBER(--_xlfn.REGEXEXTRACT(F10,"^\d+")),
      ISNUMBER(--_xlfn.REGEXEXTRACT(F10,"\d+$"))),--_xlfn.REGEXEXTRACT(F10,"\d+$")---_xlfn.REGEXEXTRACT(F10,"^\d+"),
    ""))</f>
        <v/>
      </c>
      <c r="H10" s="110" t="s">
        <v>13</v>
      </c>
      <c r="I10" s="111" cm="1">
        <f t="array" ref="I10">IF(H10="u",
8,
  IF(AND(ISNUMBER(--_xlfn.REGEXEXTRACT(H10,"^\d+")),
      ISNUMBER(--_xlfn.REGEXEXTRACT(H10,"\d+$"))),--_xlfn.REGEXEXTRACT(H10,"\d+$")---_xlfn.REGEXEXTRACT(H10,"^\d+"),
    ""))</f>
        <v>8</v>
      </c>
      <c r="J10" s="127" t="s">
        <v>13</v>
      </c>
      <c r="K10" s="128" cm="1">
        <f t="array" ref="K10">IF(J10="u",
8,
  IF(AND(ISNUMBER(--_xlfn.REGEXEXTRACT(J10,"^\d+")),
      ISNUMBER(--_xlfn.REGEXEXTRACT(J10,"\d+$"))),--_xlfn.REGEXEXTRACT(J10,"\d+$")---_xlfn.REGEXEXTRACT(J10,"^\d+"),
    ""))</f>
        <v>8</v>
      </c>
      <c r="L10" s="108" t="s">
        <v>13</v>
      </c>
      <c r="M10" s="131" cm="1">
        <f t="array" ref="M10">IF(L10="u",
8,
  IF(AND(ISNUMBER(--_xlfn.REGEXEXTRACT(L10,"^\d+")),
      ISNUMBER(--_xlfn.REGEXEXTRACT(L10,"\d+$"))),--_xlfn.REGEXEXTRACT(L10,"\d+$")---_xlfn.REGEXEXTRACT(L10,"^\d+"),
    ""))</f>
        <v>8</v>
      </c>
      <c r="N10" s="117"/>
      <c r="O10" s="111" t="str" cm="1">
        <f t="array" ref="O10">IF(N10="u",
8,
  IF(AND(ISNUMBER(--_xlfn.REGEXEXTRACT(N10,"^\d+")),
      ISNUMBER(--_xlfn.REGEXEXTRACT(N10,"\d+$"))),--_xlfn.REGEXEXTRACT(N10,"\d+$")---_xlfn.REGEXEXTRACT(N10,"^\d+"),
    ""))</f>
        <v/>
      </c>
      <c r="P10" s="50">
        <f t="shared" si="0"/>
        <v>24</v>
      </c>
      <c r="Q10" s="39">
        <f t="shared" si="1"/>
        <v>184</v>
      </c>
      <c r="R10" s="13">
        <v>184</v>
      </c>
      <c r="S10" s="14">
        <f>X12</f>
        <v>8</v>
      </c>
      <c r="T10" s="125"/>
      <c r="U10" s="125"/>
      <c r="V10" s="125"/>
      <c r="W10" s="125"/>
      <c r="X10" s="124">
        <v>8</v>
      </c>
    </row>
    <row r="11" spans="1:24" x14ac:dyDescent="0.2">
      <c r="A11" s="49" t="s">
        <v>57</v>
      </c>
      <c r="B11" s="110"/>
      <c r="C11" s="111" t="str" cm="1">
        <f t="array" ref="C11">IF(B11="u",
  4,
  IF(AND(ISNUMBER(--_xlfn.REGEXEXTRACT(B11,"^\d+")),
      ISNUMBER(--_xlfn.REGEXEXTRACT(B11,"\d+$"))),--_xlfn.REGEXEXTRACT(B11,"\d+$")---_xlfn.REGEXEXTRACT(B11,"^\d+"),
    ""))</f>
        <v/>
      </c>
      <c r="D11" s="110"/>
      <c r="E11" s="111" t="str" cm="1">
        <f t="array" ref="E11">IF(D11="u",
  4,
  IF(AND(ISNUMBER(--_xlfn.REGEXEXTRACT(D11,"^\d+")),
      ISNUMBER(--_xlfn.REGEXEXTRACT(D11,"\d+$"))),--_xlfn.REGEXEXTRACT(D11,"\d+$")---_xlfn.REGEXEXTRACT(D11,"^\d+"),
    ""))</f>
        <v/>
      </c>
      <c r="F11" s="132" t="s">
        <v>26</v>
      </c>
      <c r="G11" s="111" t="str" cm="1">
        <f t="array" ref="G11">IF(F11="u",
  4,
  IF(AND(ISNUMBER(--_xlfn.REGEXEXTRACT(F11,"^\d+")),
      ISNUMBER(--_xlfn.REGEXEXTRACT(F11,"\d+$"))),--_xlfn.REGEXEXTRACT(F11,"\d+$")---_xlfn.REGEXEXTRACT(F11,"^\d+"),
    ""))</f>
        <v/>
      </c>
      <c r="H11" s="110" t="s">
        <v>26</v>
      </c>
      <c r="I11" s="111" t="str" cm="1">
        <f t="array" ref="I11">IF(H11="u",
  4,
  IF(AND(ISNUMBER(--_xlfn.REGEXEXTRACT(H11,"^\d+")),
      ISNUMBER(--_xlfn.REGEXEXTRACT(H11,"\d+$"))),--_xlfn.REGEXEXTRACT(H11,"\d+$")---_xlfn.REGEXEXTRACT(H11,"^\d+"),
    ""))</f>
        <v/>
      </c>
      <c r="J11" s="105" t="s">
        <v>26</v>
      </c>
      <c r="K11" s="111" t="str" cm="1">
        <f t="array" ref="K11">IF(J11="u",
  4,
  IF(AND(ISNUMBER(--_xlfn.REGEXEXTRACT(J11,"^\d+")),
      ISNUMBER(--_xlfn.REGEXEXTRACT(J11,"\d+$"))),--_xlfn.REGEXEXTRACT(J11,"\d+$")---_xlfn.REGEXEXTRACT(J11,"^\d+"),
    ""))</f>
        <v/>
      </c>
      <c r="L11" s="78" t="s">
        <v>26</v>
      </c>
      <c r="M11" s="111" t="str" cm="1">
        <f t="array" ref="M11">IF(L11="u",
  4,
  IF(AND(ISNUMBER(--_xlfn.REGEXEXTRACT(L11,"^\d+")),
      ISNUMBER(--_xlfn.REGEXEXTRACT(L11,"\d+$"))),--_xlfn.REGEXEXTRACT(L11,"\d+$")---_xlfn.REGEXEXTRACT(L11,"^\d+"),
    ""))</f>
        <v/>
      </c>
      <c r="N11" s="117"/>
      <c r="O11" s="111" t="str" cm="1">
        <f t="array" ref="O11">IF(N11="u",
  4,
  IF(AND(ISNUMBER(--_xlfn.REGEXEXTRACT(N11,"^\d+")),
      ISNUMBER(--_xlfn.REGEXEXTRACT(N11,"\d+$"))),--_xlfn.REGEXEXTRACT(N11,"\d+$")---_xlfn.REGEXEXTRACT(N11,"^\d+"),
    ""))</f>
        <v/>
      </c>
      <c r="P11" s="50">
        <f t="shared" si="0"/>
        <v>0</v>
      </c>
      <c r="Q11" s="39">
        <v>138</v>
      </c>
      <c r="R11" s="13">
        <v>138</v>
      </c>
      <c r="S11" s="14"/>
      <c r="T11" s="125"/>
      <c r="U11" s="125"/>
      <c r="V11" s="125"/>
      <c r="W11" s="125"/>
      <c r="X11" s="124">
        <v>6</v>
      </c>
    </row>
    <row r="12" spans="1:24" x14ac:dyDescent="0.2">
      <c r="A12" s="49" t="s">
        <v>58</v>
      </c>
      <c r="B12" s="110"/>
      <c r="C12" s="111" t="str" cm="1">
        <f t="array" ref="C12">IF(B12="u",
8,
  IF(AND(ISNUMBER(--_xlfn.REGEXEXTRACT(B12,"^\d+")),
      ISNUMBER(--_xlfn.REGEXEXTRACT(B12,"\d+$"))),--_xlfn.REGEXEXTRACT(B12,"\d+$")---_xlfn.REGEXEXTRACT(B12,"^\d+"),
    ""))</f>
        <v/>
      </c>
      <c r="D12" s="110"/>
      <c r="E12" s="111" t="str" cm="1">
        <f t="array" ref="E12">IF(D12="u",
8,
  IF(AND(ISNUMBER(--_xlfn.REGEXEXTRACT(D12,"^\d+")),
      ISNUMBER(--_xlfn.REGEXEXTRACT(D12,"\d+$"))),--_xlfn.REGEXEXTRACT(D12,"\d+$")---_xlfn.REGEXEXTRACT(D12,"^\d+"),
    ""))</f>
        <v/>
      </c>
      <c r="F12" s="111" t="s">
        <v>13</v>
      </c>
      <c r="G12" s="111" cm="1">
        <f t="array" ref="G12">IF(F12="u",
8,
  IF(AND(ISNUMBER(--_xlfn.REGEXEXTRACT(F12,"^\d+")),
      ISNUMBER(--_xlfn.REGEXEXTRACT(F12,"\d+$"))),--_xlfn.REGEXEXTRACT(F12,"\d+$")---_xlfn.REGEXEXTRACT(F12,"^\d+"),
    ""))</f>
        <v>8</v>
      </c>
      <c r="H12" s="110" t="s">
        <v>26</v>
      </c>
      <c r="I12" s="111" t="str" cm="1">
        <f t="array" ref="I12">IF(H12="u",
8,
  IF(AND(ISNUMBER(--_xlfn.REGEXEXTRACT(H12,"^\d+")),
      ISNUMBER(--_xlfn.REGEXEXTRACT(H12,"\d+$"))),--_xlfn.REGEXEXTRACT(H12,"\d+$")---_xlfn.REGEXEXTRACT(H12,"^\d+"),
    ""))</f>
        <v/>
      </c>
      <c r="J12" s="105" t="s">
        <v>12</v>
      </c>
      <c r="K12" s="111" cm="1">
        <f t="array" ref="K12">IF(J12="u",
8,
  IF(AND(ISNUMBER(--_xlfn.REGEXEXTRACT(J12,"^\d+")),
      ISNUMBER(--_xlfn.REGEXEXTRACT(J12,"\d+$"))),--_xlfn.REGEXEXTRACT(J12,"\d+$")---_xlfn.REGEXEXTRACT(J12,"^\d+"),
    ""))</f>
        <v>8</v>
      </c>
      <c r="L12" s="107" t="s">
        <v>32</v>
      </c>
      <c r="M12" s="111" cm="1">
        <f t="array" ref="M12">IF(L12="u",
8,
  IF(AND(ISNUMBER(--_xlfn.REGEXEXTRACT(L12,"^\d+")),
      ISNUMBER(--_xlfn.REGEXEXTRACT(L12,"\d+$"))),--_xlfn.REGEXEXTRACT(L12,"\d+$")---_xlfn.REGEXEXTRACT(L12,"^\d+"),
    ""))</f>
        <v>10</v>
      </c>
      <c r="N12" s="117"/>
      <c r="O12" s="111" t="str" cm="1">
        <f t="array" ref="O12">IF(N12="u",
8,
  IF(AND(ISNUMBER(--_xlfn.REGEXEXTRACT(N12,"^\d+")),
      ISNUMBER(--_xlfn.REGEXEXTRACT(N12,"\d+$"))),--_xlfn.REGEXEXTRACT(N12,"\d+$")---_xlfn.REGEXEXTRACT(N12,"^\d+"),
    ""))</f>
        <v/>
      </c>
      <c r="P12" s="50">
        <f t="shared" si="0"/>
        <v>26</v>
      </c>
      <c r="Q12" s="39">
        <f t="shared" si="1"/>
        <v>184</v>
      </c>
      <c r="R12" s="13">
        <v>184</v>
      </c>
      <c r="S12" s="14">
        <f t="shared" si="2"/>
        <v>0</v>
      </c>
      <c r="T12" s="125"/>
      <c r="U12" s="125"/>
      <c r="V12" s="125"/>
      <c r="W12" s="125"/>
      <c r="X12" s="124">
        <v>8</v>
      </c>
    </row>
    <row r="13" spans="1:24" x14ac:dyDescent="0.2">
      <c r="A13" s="49" t="s">
        <v>59</v>
      </c>
      <c r="B13" s="110"/>
      <c r="C13" s="111" t="str" cm="1">
        <f t="array" ref="C13">IF(B13="u",
8,
  IF(AND(ISNUMBER(--_xlfn.REGEXEXTRACT(B13,"^\d+")),
      ISNUMBER(--_xlfn.REGEXEXTRACT(B13,"\d+$"))),--_xlfn.REGEXEXTRACT(B13,"\d+$")---_xlfn.REGEXEXTRACT(B13,"^\d+"),
    ""))</f>
        <v/>
      </c>
      <c r="D13" s="110"/>
      <c r="E13" s="111" t="str" cm="1">
        <f t="array" ref="E13">IF(D13="u",
8,
  IF(AND(ISNUMBER(--_xlfn.REGEXEXTRACT(D13,"^\d+")),
      ISNUMBER(--_xlfn.REGEXEXTRACT(D13,"\d+$"))),--_xlfn.REGEXEXTRACT(D13,"\d+$")---_xlfn.REGEXEXTRACT(D13,"^\d+"),
    ""))</f>
        <v/>
      </c>
      <c r="F13" s="110" t="s">
        <v>13</v>
      </c>
      <c r="G13" s="111" cm="1">
        <f t="array" ref="G13">IF(F13="u",
8,
  IF(AND(ISNUMBER(--_xlfn.REGEXEXTRACT(F13,"^\d+")),
      ISNUMBER(--_xlfn.REGEXEXTRACT(F13,"\d+$"))),--_xlfn.REGEXEXTRACT(F13,"\d+$")---_xlfn.REGEXEXTRACT(F13,"^\d+"),
    ""))</f>
        <v>8</v>
      </c>
      <c r="H13" s="110" t="s">
        <v>15</v>
      </c>
      <c r="I13" s="111" cm="1">
        <f t="array" ref="I13">IF(H13="u",
8,
  IF(AND(ISNUMBER(--_xlfn.REGEXEXTRACT(H13,"^\d+")),
      ISNUMBER(--_xlfn.REGEXEXTRACT(H13,"\d+$"))),--_xlfn.REGEXEXTRACT(H13,"\d+$")---_xlfn.REGEXEXTRACT(H13,"^\d+"),
    ""))</f>
        <v>8</v>
      </c>
      <c r="J13" s="105" t="s">
        <v>12</v>
      </c>
      <c r="K13" s="111" cm="1">
        <f t="array" ref="K13">IF(J13="u",
8,
  IF(AND(ISNUMBER(--_xlfn.REGEXEXTRACT(J13,"^\d+")),
      ISNUMBER(--_xlfn.REGEXEXTRACT(J13,"\d+$"))),--_xlfn.REGEXEXTRACT(J13,"\d+$")---_xlfn.REGEXEXTRACT(J13,"^\d+"),
    ""))</f>
        <v>8</v>
      </c>
      <c r="L13" s="107" t="s">
        <v>26</v>
      </c>
      <c r="M13" s="111" t="str" cm="1">
        <f t="array" ref="M13">IF(L13="u",
8,
  IF(AND(ISNUMBER(--_xlfn.REGEXEXTRACT(L13,"^\d+")),
      ISNUMBER(--_xlfn.REGEXEXTRACT(L13,"\d+$"))),--_xlfn.REGEXEXTRACT(L13,"\d+$")---_xlfn.REGEXEXTRACT(L13,"^\d+"),
    ""))</f>
        <v/>
      </c>
      <c r="N13" s="117"/>
      <c r="O13" s="111" t="str" cm="1">
        <f t="array" ref="O13">IF(N13="u",
8,
  IF(AND(ISNUMBER(--_xlfn.REGEXEXTRACT(N13,"^\d+")),
      ISNUMBER(--_xlfn.REGEXEXTRACT(N13,"\d+$"))),--_xlfn.REGEXEXTRACT(N13,"\d+$")---_xlfn.REGEXEXTRACT(N13,"^\d+"),
    ""))</f>
        <v/>
      </c>
      <c r="P13" s="50">
        <f t="shared" si="0"/>
        <v>24</v>
      </c>
      <c r="Q13" s="39">
        <f t="shared" si="1"/>
        <v>184</v>
      </c>
      <c r="R13" s="13">
        <v>184</v>
      </c>
      <c r="S13" s="14">
        <f t="shared" si="2"/>
        <v>0</v>
      </c>
      <c r="T13" s="125"/>
      <c r="U13" s="125"/>
      <c r="V13" s="125"/>
      <c r="W13" s="125"/>
      <c r="X13" s="124">
        <v>8</v>
      </c>
    </row>
    <row r="14" spans="1:24" x14ac:dyDescent="0.2">
      <c r="A14" s="49" t="s">
        <v>60</v>
      </c>
      <c r="B14" s="110"/>
      <c r="C14" s="111" t="str" cm="1">
        <f t="array" ref="C14">IF(B14="u",
6,
  IF(AND(ISNUMBER(--_xlfn.REGEXEXTRACT(B14,"^\d+")),
      ISNUMBER(--_xlfn.REGEXEXTRACT(B14,"\d+$"))),--_xlfn.REGEXEXTRACT(B14,"\d+$")---_xlfn.REGEXEXTRACT(B14,"^\d+"),
    ""))</f>
        <v/>
      </c>
      <c r="D14" s="110"/>
      <c r="E14" s="111" t="str" cm="1">
        <f t="array" ref="E14">IF(D14="u",
6,
  IF(AND(ISNUMBER(--_xlfn.REGEXEXTRACT(D14,"^\d+")),
      ISNUMBER(--_xlfn.REGEXEXTRACT(D14,"\d+$"))),--_xlfn.REGEXEXTRACT(D14,"\d+$")---_xlfn.REGEXEXTRACT(D14,"^\d+"),
    ""))</f>
        <v/>
      </c>
      <c r="F14" s="110" t="s">
        <v>15</v>
      </c>
      <c r="G14" s="111" cm="1">
        <f t="array" ref="G14">IF(F14="u",
6,
  IF(AND(ISNUMBER(--_xlfn.REGEXEXTRACT(F14,"^\d+")),
      ISNUMBER(--_xlfn.REGEXEXTRACT(F14,"\d+$"))),--_xlfn.REGEXEXTRACT(F14,"\d+$")---_xlfn.REGEXEXTRACT(F14,"^\d+"),
    ""))</f>
        <v>8</v>
      </c>
      <c r="H14" s="110" t="s">
        <v>12</v>
      </c>
      <c r="I14" s="111" cm="1">
        <f t="array" ref="I14">IF(H14="u",
6,
  IF(AND(ISNUMBER(--_xlfn.REGEXEXTRACT(H14,"^\d+")),
      ISNUMBER(--_xlfn.REGEXEXTRACT(H14,"\d+$"))),--_xlfn.REGEXEXTRACT(H14,"\d+$")---_xlfn.REGEXEXTRACT(H14,"^\d+"),
    ""))</f>
        <v>8</v>
      </c>
      <c r="J14" s="105" t="s">
        <v>14</v>
      </c>
      <c r="K14" s="111" cm="1">
        <f t="array" ref="K14">IF(J14="u",
6,
  IF(AND(ISNUMBER(--_xlfn.REGEXEXTRACT(J14,"^\d+")),
      ISNUMBER(--_xlfn.REGEXEXTRACT(J14,"\d+$"))),--_xlfn.REGEXEXTRACT(J14,"\d+$")---_xlfn.REGEXEXTRACT(J14,"^\d+"),
    ""))</f>
        <v>8</v>
      </c>
      <c r="L14" s="107" t="s">
        <v>26</v>
      </c>
      <c r="M14" s="111" t="str" cm="1">
        <f t="array" ref="M14">IF(L14="u",
6,
  IF(AND(ISNUMBER(--_xlfn.REGEXEXTRACT(L14,"^\d+")),
      ISNUMBER(--_xlfn.REGEXEXTRACT(L14,"\d+$"))),--_xlfn.REGEXEXTRACT(L14,"\d+$")---_xlfn.REGEXEXTRACT(L14,"^\d+"),
    ""))</f>
        <v/>
      </c>
      <c r="N14" s="69"/>
      <c r="O14" s="111" t="str" cm="1">
        <f t="array" ref="O14">IF(N14="u",
6,
  IF(AND(ISNUMBER(--_xlfn.REGEXEXTRACT(N14,"^\d+")),
      ISNUMBER(--_xlfn.REGEXEXTRACT(N14,"\d+$"))),--_xlfn.REGEXEXTRACT(N14,"\d+$")---_xlfn.REGEXEXTRACT(N14,"^\d+"),
    ""))</f>
        <v/>
      </c>
      <c r="P14" s="50">
        <f t="shared" si="0"/>
        <v>24</v>
      </c>
      <c r="Q14" s="39">
        <f t="shared" si="1"/>
        <v>184</v>
      </c>
      <c r="R14" s="13">
        <v>184</v>
      </c>
      <c r="S14" s="14">
        <f t="shared" si="2"/>
        <v>0</v>
      </c>
      <c r="T14" s="125"/>
      <c r="U14" s="125"/>
      <c r="V14" s="125"/>
      <c r="W14" s="125"/>
      <c r="X14" s="124">
        <v>8</v>
      </c>
    </row>
    <row r="15" spans="1:24" x14ac:dyDescent="0.2">
      <c r="A15" s="49" t="s">
        <v>61</v>
      </c>
      <c r="B15" s="110"/>
      <c r="C15" s="111"/>
      <c r="D15" s="110"/>
      <c r="E15" s="111" t="str" cm="1">
        <f t="array" ref="E15">IF(D15="u",
4,
  IF(AND(ISNUMBER(--_xlfn.REGEXEXTRACT(D15,"^\d+")),
      ISNUMBER(--_xlfn.REGEXEXTRACT(D15,"\d+$"))),--_xlfn.REGEXEXTRACT(D15,"\d+$")---_xlfn.REGEXEXTRACT(D15,"^\d+"),
    ""))</f>
        <v/>
      </c>
      <c r="F15" s="110" t="s">
        <v>26</v>
      </c>
      <c r="G15" s="111" t="str" cm="1">
        <f t="array" ref="G15">IF(F15="u",
6,
  IF(AND(ISNUMBER(--_xlfn.REGEXEXTRACT(F15,"^\d+")),
      ISNUMBER(--_xlfn.REGEXEXTRACT(F15,"\d+$"))),--_xlfn.REGEXEXTRACT(F15,"\d+$")---_xlfn.REGEXEXTRACT(F15,"^\d+"),
    ""))</f>
        <v/>
      </c>
      <c r="H15" s="129" t="s">
        <v>16</v>
      </c>
      <c r="I15" s="111" cm="1">
        <f t="array" ref="I15">IF(H15="u",
4,
  IF(AND(ISNUMBER(--_xlfn.REGEXEXTRACT(H15,"^\d+")),
      ISNUMBER(--_xlfn.REGEXEXTRACT(H15,"\d+$"))),--_xlfn.REGEXEXTRACT(H15,"\d+$")---_xlfn.REGEXEXTRACT(H15,"^\d+"),
    ""))</f>
        <v>6</v>
      </c>
      <c r="J15" s="105" t="s">
        <v>16</v>
      </c>
      <c r="K15" s="111" cm="1">
        <f t="array" ref="K15">IF(J15="u",
4,
  IF(AND(ISNUMBER(--_xlfn.REGEXEXTRACT(J15,"^\d+")),
      ISNUMBER(--_xlfn.REGEXEXTRACT(J15,"\d+$"))),--_xlfn.REGEXEXTRACT(J15,"\d+$")---_xlfn.REGEXEXTRACT(J15,"^\d+"),
    ""))</f>
        <v>6</v>
      </c>
      <c r="L15" s="108" t="s">
        <v>41</v>
      </c>
      <c r="M15" s="111" cm="1">
        <f t="array" ref="M15">IF(L15="u",
4,
  IF(AND(ISNUMBER(--_xlfn.REGEXEXTRACT(L15,"^\d+")),
      ISNUMBER(--_xlfn.REGEXEXTRACT(L15,"\d+$"))),--_xlfn.REGEXEXTRACT(L15,"\d+$")---_xlfn.REGEXEXTRACT(L15,"^\d+"),
    ""))</f>
        <v>10</v>
      </c>
      <c r="N15" s="69"/>
      <c r="O15" s="111" t="str" cm="1">
        <f t="array" ref="O15">IF(N15="u",
4,
  IF(AND(ISNUMBER(--_xlfn.REGEXEXTRACT(N15,"^\d+")),
      ISNUMBER(--_xlfn.REGEXEXTRACT(N15,"\d+$"))),--_xlfn.REGEXEXTRACT(N15,"\d+$")---_xlfn.REGEXEXTRACT(N15,"^\d+"),
    ""))</f>
        <v/>
      </c>
      <c r="P15" s="50">
        <f t="shared" si="0"/>
        <v>22</v>
      </c>
      <c r="Q15" s="39">
        <f t="shared" si="1"/>
        <v>92</v>
      </c>
      <c r="R15" s="13">
        <v>92</v>
      </c>
      <c r="S15" s="14">
        <f t="shared" si="2"/>
        <v>0</v>
      </c>
      <c r="T15" s="125"/>
      <c r="U15" s="125"/>
      <c r="V15" s="125"/>
      <c r="W15" s="125"/>
      <c r="X15" s="124">
        <v>4</v>
      </c>
    </row>
    <row r="16" spans="1:24" x14ac:dyDescent="0.2">
      <c r="A16" s="49" t="s">
        <v>62</v>
      </c>
      <c r="B16" s="110"/>
      <c r="C16" s="111"/>
      <c r="D16" s="110"/>
      <c r="E16" s="111" t="str" cm="1">
        <f t="array" ref="E16">IF(D16="u",
4,
  IF(AND(ISNUMBER(--_xlfn.REGEXEXTRACT(D16,"^\d+")),
      ISNUMBER(--_xlfn.REGEXEXTRACT(D16,"\d+$"))),--_xlfn.REGEXEXTRACT(D16,"\d+$")---_xlfn.REGEXEXTRACT(D16,"^\d+"),
    ""))</f>
        <v/>
      </c>
      <c r="F16" s="110" t="s">
        <v>42</v>
      </c>
      <c r="G16" s="111" cm="1">
        <f t="array" ref="G16">IF(F16="u",
6,
  IF(AND(ISNUMBER(--_xlfn.REGEXEXTRACT(F16,"^\d+")),
      ISNUMBER(--_xlfn.REGEXEXTRACT(F16,"\d+$"))),--_xlfn.REGEXEXTRACT(F16,"\d+$")---_xlfn.REGEXEXTRACT(F16,"^\d+"),
    ""))</f>
        <v>6</v>
      </c>
      <c r="H16" s="110" t="s">
        <v>26</v>
      </c>
      <c r="I16" s="111" t="str" cm="1">
        <f t="array" ref="I16">IF(H16="u",
4,
  IF(AND(ISNUMBER(--_xlfn.REGEXEXTRACT(H16,"^\d+")),
      ISNUMBER(--_xlfn.REGEXEXTRACT(H16,"\d+$"))),--_xlfn.REGEXEXTRACT(H16,"\d+$")---_xlfn.REGEXEXTRACT(H16,"^\d+"),
    ""))</f>
        <v/>
      </c>
      <c r="J16" s="105" t="s">
        <v>26</v>
      </c>
      <c r="K16" s="111" t="str" cm="1">
        <f t="array" ref="K16">IF(J16="u",
4,
  IF(AND(ISNUMBER(--_xlfn.REGEXEXTRACT(J16,"^\d+")),
      ISNUMBER(--_xlfn.REGEXEXTRACT(J16,"\d+$"))),--_xlfn.REGEXEXTRACT(J16,"\d+$")---_xlfn.REGEXEXTRACT(J16,"^\d+"),
    ""))</f>
        <v/>
      </c>
      <c r="L16" s="107" t="s">
        <v>42</v>
      </c>
      <c r="M16" s="111" cm="1">
        <f t="array" ref="M16">IF(L16="u",
4,
  IF(AND(ISNUMBER(--_xlfn.REGEXEXTRACT(L16,"^\d+")),
      ISNUMBER(--_xlfn.REGEXEXTRACT(L16,"\d+$"))),--_xlfn.REGEXEXTRACT(L16,"\d+$")---_xlfn.REGEXEXTRACT(L16,"^\d+"),
    ""))</f>
        <v>6</v>
      </c>
      <c r="N16" s="117"/>
      <c r="O16" s="111" t="str" cm="1">
        <f t="array" ref="O16">IF(N16="u",
4,
  IF(AND(ISNUMBER(--_xlfn.REGEXEXTRACT(N16,"^\d+")),
      ISNUMBER(--_xlfn.REGEXEXTRACT(N16,"\d+$"))),--_xlfn.REGEXEXTRACT(N16,"\d+$")---_xlfn.REGEXEXTRACT(N16,"^\d+"),
    ""))</f>
        <v/>
      </c>
      <c r="P16" s="50">
        <f t="shared" si="0"/>
        <v>12</v>
      </c>
      <c r="Q16" s="39">
        <f t="shared" si="1"/>
        <v>92</v>
      </c>
      <c r="R16" s="13">
        <v>92</v>
      </c>
      <c r="S16" s="14">
        <f t="shared" si="2"/>
        <v>0</v>
      </c>
      <c r="T16" s="125"/>
      <c r="U16" s="125"/>
      <c r="V16" s="125"/>
      <c r="W16" s="125"/>
      <c r="X16" s="124">
        <v>4</v>
      </c>
    </row>
    <row r="17" spans="1:23" x14ac:dyDescent="0.2">
      <c r="A17" s="87"/>
      <c r="B17" s="70"/>
      <c r="C17" s="71"/>
      <c r="D17" s="70"/>
      <c r="E17" s="71"/>
      <c r="F17" s="70"/>
      <c r="G17" s="71"/>
      <c r="H17" s="70"/>
      <c r="I17" s="72"/>
      <c r="J17" s="74"/>
      <c r="K17" s="75"/>
      <c r="L17" s="74"/>
      <c r="M17" s="76"/>
      <c r="N17" s="73"/>
      <c r="O17" s="112"/>
      <c r="P17" s="50">
        <f t="shared" si="0"/>
        <v>0</v>
      </c>
      <c r="Q17" s="39">
        <f t="shared" si="1"/>
        <v>0</v>
      </c>
      <c r="R17" s="13"/>
      <c r="S17" s="14">
        <f t="shared" si="2"/>
        <v>0</v>
      </c>
      <c r="T17" s="125"/>
      <c r="U17" s="125"/>
      <c r="V17" s="125"/>
      <c r="W17" s="125"/>
    </row>
    <row r="18" spans="1:23" x14ac:dyDescent="0.2">
      <c r="A18" s="87"/>
      <c r="B18" s="71"/>
      <c r="C18" s="71"/>
      <c r="D18" s="71"/>
      <c r="E18" s="71"/>
      <c r="F18" s="71"/>
      <c r="G18" s="71"/>
      <c r="H18" s="71"/>
      <c r="I18" s="72"/>
      <c r="J18" s="72"/>
      <c r="K18" s="72"/>
      <c r="L18" s="72"/>
      <c r="M18" s="72"/>
      <c r="N18" s="72"/>
      <c r="O18" s="94"/>
      <c r="P18" s="50">
        <f t="shared" si="0"/>
        <v>0</v>
      </c>
      <c r="Q18" s="39">
        <f>SUM(P18,P32,P46,P60,P74)</f>
        <v>0</v>
      </c>
      <c r="R18" s="13"/>
      <c r="S18" s="14">
        <f t="shared" si="2"/>
        <v>0</v>
      </c>
      <c r="T18" s="125"/>
      <c r="U18" s="125"/>
      <c r="V18" s="125"/>
      <c r="W18" s="125"/>
    </row>
    <row r="19" spans="1:23" x14ac:dyDescent="0.2">
      <c r="A19" s="87"/>
      <c r="B19" s="71"/>
      <c r="C19" s="71"/>
      <c r="D19" s="71"/>
      <c r="E19" s="71"/>
      <c r="F19" s="71"/>
      <c r="G19" s="71"/>
      <c r="H19" s="77"/>
      <c r="I19" s="72"/>
      <c r="J19" s="72"/>
      <c r="K19" s="72"/>
      <c r="L19" s="72"/>
      <c r="M19" s="72"/>
      <c r="N19" s="72"/>
      <c r="O19" s="103"/>
      <c r="P19" s="50">
        <f t="shared" si="0"/>
        <v>0</v>
      </c>
      <c r="Q19" s="39">
        <f>SUM(P33,P47,P61,P75)</f>
        <v>0</v>
      </c>
      <c r="R19" s="13"/>
      <c r="S19" s="14"/>
      <c r="T19" s="125"/>
      <c r="U19" s="125"/>
      <c r="V19" s="125"/>
      <c r="W19" s="125"/>
    </row>
    <row r="20" spans="1:23" x14ac:dyDescent="0.2">
      <c r="A20" s="52" t="s">
        <v>9</v>
      </c>
      <c r="B20" s="150">
        <f>SUM(C9:C19)</f>
        <v>0</v>
      </c>
      <c r="C20" s="149"/>
      <c r="D20" s="150">
        <f>SUM(E9:E19)</f>
        <v>0</v>
      </c>
      <c r="E20" s="149"/>
      <c r="F20" s="150">
        <f>SUM(G9:G19)</f>
        <v>39</v>
      </c>
      <c r="G20" s="149"/>
      <c r="H20" s="150">
        <f>SUM(I9:I19)</f>
        <v>39</v>
      </c>
      <c r="I20" s="149"/>
      <c r="J20" s="150">
        <f>SUM(K9:K19)</f>
        <v>38</v>
      </c>
      <c r="K20" s="149"/>
      <c r="L20" s="150">
        <f>SUM(M9:M19)</f>
        <v>42</v>
      </c>
      <c r="M20" s="149"/>
      <c r="N20" s="150">
        <f>SUM(O9:O19)</f>
        <v>0</v>
      </c>
      <c r="O20" s="151"/>
      <c r="P20" s="53">
        <f>SUM(P9:P19)</f>
        <v>158</v>
      </c>
      <c r="Q20" s="40"/>
      <c r="R20" s="18">
        <f>R9+R10+R11+R12+R13+R14+R15+R16</f>
        <v>1242</v>
      </c>
      <c r="S20" s="17"/>
      <c r="T20" s="38"/>
      <c r="U20" s="38"/>
      <c r="V20" s="38"/>
      <c r="W20" s="38"/>
    </row>
    <row r="21" spans="1:23" ht="29.25" customHeight="1" thickBot="1" x14ac:dyDescent="0.25">
      <c r="A21" s="54"/>
      <c r="B21" s="148">
        <v>46209</v>
      </c>
      <c r="C21" s="149"/>
      <c r="D21" s="148">
        <v>46210</v>
      </c>
      <c r="E21" s="149"/>
      <c r="F21" s="148">
        <v>46211</v>
      </c>
      <c r="G21" s="149"/>
      <c r="H21" s="148">
        <v>46212</v>
      </c>
      <c r="I21" s="149"/>
      <c r="J21" s="148">
        <v>46213</v>
      </c>
      <c r="K21" s="149"/>
      <c r="L21" s="148">
        <v>46214</v>
      </c>
      <c r="M21" s="149"/>
      <c r="N21" s="148">
        <v>46215</v>
      </c>
      <c r="O21" s="149"/>
      <c r="P21" s="79"/>
      <c r="Q21" s="41"/>
      <c r="R21" s="3"/>
      <c r="S21" s="3"/>
      <c r="T21" s="3"/>
      <c r="U21" s="3"/>
      <c r="V21" s="3"/>
      <c r="W21" s="3"/>
    </row>
    <row r="22" spans="1:23" ht="15.75" customHeight="1" thickBot="1" x14ac:dyDescent="0.25">
      <c r="A22" s="47" t="s">
        <v>1</v>
      </c>
      <c r="B22" s="6" t="s">
        <v>2</v>
      </c>
      <c r="C22" s="6" t="s">
        <v>3</v>
      </c>
      <c r="D22" s="6" t="s">
        <v>2</v>
      </c>
      <c r="E22" s="6" t="s">
        <v>3</v>
      </c>
      <c r="F22" s="6" t="s">
        <v>2</v>
      </c>
      <c r="G22" s="6" t="s">
        <v>3</v>
      </c>
      <c r="H22" s="6" t="s">
        <v>2</v>
      </c>
      <c r="I22" s="6" t="s">
        <v>3</v>
      </c>
      <c r="J22" s="6" t="s">
        <v>2</v>
      </c>
      <c r="K22" s="6" t="s">
        <v>3</v>
      </c>
      <c r="L22" s="6" t="s">
        <v>2</v>
      </c>
      <c r="M22" s="6" t="s">
        <v>3</v>
      </c>
      <c r="N22" s="6" t="s">
        <v>2</v>
      </c>
      <c r="O22" s="7" t="s">
        <v>3</v>
      </c>
      <c r="P22" s="81" t="s">
        <v>5</v>
      </c>
      <c r="Q22" s="38"/>
      <c r="R22" s="38"/>
      <c r="S22" s="38"/>
      <c r="T22" s="38"/>
      <c r="U22" s="38"/>
      <c r="V22" s="38"/>
      <c r="W22" s="38"/>
    </row>
    <row r="23" spans="1:23" ht="15.75" customHeight="1" x14ac:dyDescent="0.2">
      <c r="A23" s="49" t="str">
        <f t="shared" ref="A23:A30" si="3">A9</f>
        <v>P1</v>
      </c>
      <c r="B23" s="133" t="s">
        <v>33</v>
      </c>
      <c r="C23" s="134" cm="1">
        <f t="array" ref="C23">IF(B23="u",
8,
  IF(AND(ISNUMBER(--_xlfn.REGEXEXTRACT(B23,"^\d+")),
      ISNUMBER(--_xlfn.REGEXEXTRACT(B23,"\d+$"))),--_xlfn.REGEXEXTRACT(B23,"\d+$")---_xlfn.REGEXEXTRACT(B23,"^\d+"),
    ""))</f>
        <v>8</v>
      </c>
      <c r="D23" s="133" t="s">
        <v>33</v>
      </c>
      <c r="E23" s="134" cm="1">
        <f t="array" ref="E23">IF(D23="u",
8,
  IF(AND(ISNUMBER(--_xlfn.REGEXEXTRACT(D23,"^\d+")),
      ISNUMBER(--_xlfn.REGEXEXTRACT(D23,"\d+$"))),--_xlfn.REGEXEXTRACT(D23,"\d+$")---_xlfn.REGEXEXTRACT(D23,"^\d+"),
    ""))</f>
        <v>8</v>
      </c>
      <c r="F23" s="135" t="s">
        <v>33</v>
      </c>
      <c r="G23" s="134" cm="1">
        <f t="array" ref="G23">IF(F23="u",
8,
  IF(AND(ISNUMBER(--_xlfn.REGEXEXTRACT(F23,"^\d+")),
      ISNUMBER(--_xlfn.REGEXEXTRACT(F23,"\d+$"))),--_xlfn.REGEXEXTRACT(F23,"\d+$")---_xlfn.REGEXEXTRACT(F23,"^\d+"),
    ""))</f>
        <v>8</v>
      </c>
      <c r="H23" s="136" t="s">
        <v>33</v>
      </c>
      <c r="I23" s="134" cm="1">
        <f t="array" ref="I23">IF(H23="u",
8,
  IF(AND(ISNUMBER(--_xlfn.REGEXEXTRACT(H23,"^\d+")),
      ISNUMBER(--_xlfn.REGEXEXTRACT(H23,"\d+$"))),--_xlfn.REGEXEXTRACT(H23,"\d+$")---_xlfn.REGEXEXTRACT(H23,"^\d+"),
    ""))</f>
        <v>8</v>
      </c>
      <c r="J23" s="136" t="s">
        <v>33</v>
      </c>
      <c r="K23" s="134" cm="1">
        <f t="array" ref="K23">IF(J23="u",
8,
  IF(AND(ISNUMBER(--_xlfn.REGEXEXTRACT(J23,"^\d+")),
      ISNUMBER(--_xlfn.REGEXEXTRACT(J23,"\d+$"))),--_xlfn.REGEXEXTRACT(J23,"\d+$")---_xlfn.REGEXEXTRACT(J23,"^\d+"),
    ""))</f>
        <v>8</v>
      </c>
      <c r="L23" s="107" t="s">
        <v>26</v>
      </c>
      <c r="M23" s="111" t="str" cm="1">
        <f t="array" ref="M23">IF(L23="u",
8,
  IF(AND(ISNUMBER(--_xlfn.REGEXEXTRACT(L23,"^\d+")),
      ISNUMBER(--_xlfn.REGEXEXTRACT(L23,"\d+$"))),--_xlfn.REGEXEXTRACT(L23,"\d+$")---_xlfn.REGEXEXTRACT(L23,"^\d+"),
    ""))</f>
        <v/>
      </c>
      <c r="N23" s="69"/>
      <c r="O23" s="111" t="str" cm="1">
        <f t="array" ref="O23">IF(N23="u",
8,
  IF(AND(ISNUMBER(--_xlfn.REGEXEXTRACT(N23,"^\d+")),
      ISNUMBER(--_xlfn.REGEXEXTRACT(N23,"\d+$"))),--_xlfn.REGEXEXTRACT(N23,"\d+$")---_xlfn.REGEXEXTRACT(N23,"^\d+"),
    ""))</f>
        <v/>
      </c>
      <c r="P23" s="80">
        <f t="shared" ref="P23:P33" si="4">SUM(O23,M23,K23,I23,G23,E23,C23)</f>
        <v>40</v>
      </c>
      <c r="Q23" s="38"/>
      <c r="R23" s="109"/>
      <c r="S23" s="38"/>
      <c r="T23" s="38"/>
      <c r="U23" s="38"/>
      <c r="V23" s="38"/>
      <c r="W23" s="38"/>
    </row>
    <row r="24" spans="1:23" ht="15.75" customHeight="1" x14ac:dyDescent="0.2">
      <c r="A24" s="49" t="str">
        <f t="shared" si="3"/>
        <v>P2</v>
      </c>
      <c r="B24" s="105" t="s">
        <v>12</v>
      </c>
      <c r="C24" s="111" cm="1">
        <f t="array" ref="C24">IF(B24="u",
8,
  IF(AND(ISNUMBER(--_xlfn.REGEXEXTRACT(B24,"^\d+")),
      ISNUMBER(--_xlfn.REGEXEXTRACT(B24,"\d+$"))),--_xlfn.REGEXEXTRACT(B24,"\d+$")---_xlfn.REGEXEXTRACT(B24,"^\d+"),
    ""))</f>
        <v>8</v>
      </c>
      <c r="D24" s="105" t="s">
        <v>24</v>
      </c>
      <c r="E24" s="111" cm="1">
        <f t="array" ref="E24">IF(D24="u",
8,
  IF(AND(ISNUMBER(--_xlfn.REGEXEXTRACT(D24,"^\d+")),
      ISNUMBER(--_xlfn.REGEXEXTRACT(D24,"\d+$"))),--_xlfn.REGEXEXTRACT(D24,"\d+$")---_xlfn.REGEXEXTRACT(D24,"^\d+"),
    ""))</f>
        <v>8</v>
      </c>
      <c r="F24" s="105" t="s">
        <v>13</v>
      </c>
      <c r="G24" s="111" cm="1">
        <f t="array" ref="G24">IF(F24="u",
8,
  IF(AND(ISNUMBER(--_xlfn.REGEXEXTRACT(F24,"^\d+")),
      ISNUMBER(--_xlfn.REGEXEXTRACT(F24,"\d+$"))),--_xlfn.REGEXEXTRACT(F24,"\d+$")---_xlfn.REGEXEXTRACT(F24,"^\d+"),
    ""))</f>
        <v>8</v>
      </c>
      <c r="H24" s="106" t="s">
        <v>26</v>
      </c>
      <c r="I24" s="111" t="str" cm="1">
        <f t="array" ref="I24">IF(H24="u",
8,
  IF(AND(ISNUMBER(--_xlfn.REGEXEXTRACT(H24,"^\d+")),
      ISNUMBER(--_xlfn.REGEXEXTRACT(H24,"\d+$"))),--_xlfn.REGEXEXTRACT(H24,"\d+$")---_xlfn.REGEXEXTRACT(H24,"^\d+"),
    ""))</f>
        <v/>
      </c>
      <c r="J24" s="106" t="s">
        <v>12</v>
      </c>
      <c r="K24" s="111" cm="1">
        <f t="array" ref="K24">IF(J24="u",
8,
  IF(AND(ISNUMBER(--_xlfn.REGEXEXTRACT(J24,"^\d+")),
      ISNUMBER(--_xlfn.REGEXEXTRACT(J24,"\d+$"))),--_xlfn.REGEXEXTRACT(J24,"\d+$")---_xlfn.REGEXEXTRACT(J24,"^\d+"),
    ""))</f>
        <v>8</v>
      </c>
      <c r="L24" s="107" t="s">
        <v>13</v>
      </c>
      <c r="M24" s="111" cm="1">
        <f t="array" ref="M24">IF(L24="u",
8,
  IF(AND(ISNUMBER(--_xlfn.REGEXEXTRACT(L24,"^\d+")),
      ISNUMBER(--_xlfn.REGEXEXTRACT(L24,"\d+$"))),--_xlfn.REGEXEXTRACT(L24,"\d+$")---_xlfn.REGEXEXTRACT(L24,"^\d+"),
    ""))</f>
        <v>8</v>
      </c>
      <c r="N24" s="69"/>
      <c r="O24" s="111" t="str" cm="1">
        <f t="array" ref="O24">IF(N24="u",
8,
  IF(AND(ISNUMBER(--_xlfn.REGEXEXTRACT(N24,"^\d+")),
      ISNUMBER(--_xlfn.REGEXEXTRACT(N24,"\d+$"))),--_xlfn.REGEXEXTRACT(N24,"\d+$")---_xlfn.REGEXEXTRACT(N24,"^\d+"),
    ""))</f>
        <v/>
      </c>
      <c r="P24" s="80">
        <f t="shared" si="4"/>
        <v>40</v>
      </c>
      <c r="Q24" s="38"/>
      <c r="R24" s="82" t="s">
        <v>25</v>
      </c>
      <c r="S24" s="38"/>
      <c r="T24" s="38"/>
      <c r="U24" s="38"/>
      <c r="V24" s="38"/>
      <c r="W24" s="38"/>
    </row>
    <row r="25" spans="1:23" ht="15.75" customHeight="1" x14ac:dyDescent="0.2">
      <c r="A25" s="49" t="str">
        <f t="shared" si="3"/>
        <v>P3</v>
      </c>
      <c r="B25" s="105" t="s">
        <v>26</v>
      </c>
      <c r="C25" s="111" t="str" cm="1">
        <f t="array" ref="C25">IF(B25="u",
  4,
  IF(AND(ISNUMBER(--_xlfn.REGEXEXTRACT(B25,"^\d+")),
      ISNUMBER(--_xlfn.REGEXEXTRACT(B25,"\d+$"))),--_xlfn.REGEXEXTRACT(B25,"\d+$")---_xlfn.REGEXEXTRACT(B25,"^\d+"),
    ""))</f>
        <v/>
      </c>
      <c r="D25" s="105" t="s">
        <v>26</v>
      </c>
      <c r="E25" s="111" t="str" cm="1">
        <f t="array" ref="E25">IF(D25="u",
  4,
  IF(AND(ISNUMBER(--_xlfn.REGEXEXTRACT(D25,"^\d+")),
      ISNUMBER(--_xlfn.REGEXEXTRACT(D25,"\d+$"))),--_xlfn.REGEXEXTRACT(D25,"\d+$")---_xlfn.REGEXEXTRACT(D25,"^\d+"),
    ""))</f>
        <v/>
      </c>
      <c r="F25" s="105" t="s">
        <v>28</v>
      </c>
      <c r="G25" s="111" cm="1">
        <f t="array" ref="G25">IF(F25="u",
  4,
  IF(AND(ISNUMBER(--_xlfn.REGEXEXTRACT(F25,"^\d+")),
      ISNUMBER(--_xlfn.REGEXEXTRACT(F25,"\d+$"))),--_xlfn.REGEXEXTRACT(F25,"\d+$")---_xlfn.REGEXEXTRACT(F25,"^\d+"),
    ""))</f>
        <v>8</v>
      </c>
      <c r="H25" s="105" t="s">
        <v>13</v>
      </c>
      <c r="I25" s="111" cm="1">
        <f t="array" ref="I25">IF(H25="u",
  4,
  IF(AND(ISNUMBER(--_xlfn.REGEXEXTRACT(H25,"^\d+")),
      ISNUMBER(--_xlfn.REGEXEXTRACT(H25,"\d+$"))),--_xlfn.REGEXEXTRACT(H25,"\d+$")---_xlfn.REGEXEXTRACT(H25,"^\d+"),
    ""))</f>
        <v>8</v>
      </c>
      <c r="J25" s="105" t="s">
        <v>13</v>
      </c>
      <c r="K25" s="111" cm="1">
        <f t="array" ref="K25">IF(J25="u",
  4,
  IF(AND(ISNUMBER(--_xlfn.REGEXEXTRACT(J25,"^\d+")),
      ISNUMBER(--_xlfn.REGEXEXTRACT(J25,"\d+$"))),--_xlfn.REGEXEXTRACT(J25,"\d+$")---_xlfn.REGEXEXTRACT(J25,"^\d+"),
    ""))</f>
        <v>8</v>
      </c>
      <c r="L25" s="107" t="s">
        <v>32</v>
      </c>
      <c r="M25" s="111" cm="1">
        <f t="array" ref="M25">IF(L25="u",
  4,
  IF(AND(ISNUMBER(--_xlfn.REGEXEXTRACT(L25,"^\d+")),
      ISNUMBER(--_xlfn.REGEXEXTRACT(L25,"\d+$"))),--_xlfn.REGEXEXTRACT(L25,"\d+$")---_xlfn.REGEXEXTRACT(L25,"^\d+"),
    ""))</f>
        <v>10</v>
      </c>
      <c r="N25" s="69"/>
      <c r="O25" s="111" t="str" cm="1">
        <f t="array" ref="O25">IF(N25="u",
  4,
  IF(AND(ISNUMBER(--_xlfn.REGEXEXTRACT(N25,"^\d+")),
      ISNUMBER(--_xlfn.REGEXEXTRACT(N25,"\d+$"))),--_xlfn.REGEXEXTRACT(N25,"\d+$")---_xlfn.REGEXEXTRACT(N25,"^\d+"),
    ""))</f>
        <v/>
      </c>
      <c r="P25" s="80">
        <f t="shared" si="4"/>
        <v>34</v>
      </c>
      <c r="Q25" s="38"/>
      <c r="R25" s="119" t="s">
        <v>27</v>
      </c>
      <c r="S25" s="3"/>
      <c r="T25" s="3"/>
      <c r="U25" s="3"/>
      <c r="V25" s="3"/>
      <c r="W25" s="3"/>
    </row>
    <row r="26" spans="1:23" ht="15.75" customHeight="1" x14ac:dyDescent="0.2">
      <c r="A26" s="49" t="str">
        <f t="shared" si="3"/>
        <v>P4</v>
      </c>
      <c r="B26" s="105" t="s">
        <v>13</v>
      </c>
      <c r="C26" s="111" cm="1">
        <f t="array" ref="C26">IF(B26="u",
8,
  IF(AND(ISNUMBER(--_xlfn.REGEXEXTRACT(B26,"^\d+")),
      ISNUMBER(--_xlfn.REGEXEXTRACT(B26,"\d+$"))),--_xlfn.REGEXEXTRACT(B26,"\d+$")---_xlfn.REGEXEXTRACT(B26,"^\d+"),
    ""))</f>
        <v>8</v>
      </c>
      <c r="D26" s="105" t="s">
        <v>15</v>
      </c>
      <c r="E26" s="111" cm="1">
        <f t="array" ref="E26">IF(D26="u",
8,
  IF(AND(ISNUMBER(--_xlfn.REGEXEXTRACT(D26,"^\d+")),
      ISNUMBER(--_xlfn.REGEXEXTRACT(D26,"\d+$"))),--_xlfn.REGEXEXTRACT(D26,"\d+$")---_xlfn.REGEXEXTRACT(D26,"^\d+"),
    ""))</f>
        <v>8</v>
      </c>
      <c r="F26" s="105" t="s">
        <v>38</v>
      </c>
      <c r="G26" s="111" cm="1">
        <f t="array" ref="G26">IF(F26="u",
8,
  IF(AND(ISNUMBER(--_xlfn.REGEXEXTRACT(F26,"^\d+")),
      ISNUMBER(--_xlfn.REGEXEXTRACT(F26,"\d+$"))),--_xlfn.REGEXEXTRACT(F26,"\d+$")---_xlfn.REGEXEXTRACT(F26,"^\d+"),
    ""))</f>
        <v>10</v>
      </c>
      <c r="H26" s="105" t="s">
        <v>12</v>
      </c>
      <c r="I26" s="111" cm="1">
        <f t="array" ref="I26">IF(H26="u",
8,
  IF(AND(ISNUMBER(--_xlfn.REGEXEXTRACT(H26,"^\d+")),
      ISNUMBER(--_xlfn.REGEXEXTRACT(H26,"\d+$"))),--_xlfn.REGEXEXTRACT(H26,"\d+$")---_xlfn.REGEXEXTRACT(H26,"^\d+"),
    ""))</f>
        <v>8</v>
      </c>
      <c r="J26" s="105" t="s">
        <v>12</v>
      </c>
      <c r="K26" s="111" cm="1">
        <f t="array" ref="K26">IF(J26="u",
8,
  IF(AND(ISNUMBER(--_xlfn.REGEXEXTRACT(J26,"^\d+")),
      ISNUMBER(--_xlfn.REGEXEXTRACT(J26,"\d+$"))),--_xlfn.REGEXEXTRACT(J26,"\d+$")---_xlfn.REGEXEXTRACT(J26,"^\d+"),
    ""))</f>
        <v>8</v>
      </c>
      <c r="L26" s="107" t="s">
        <v>26</v>
      </c>
      <c r="M26" s="111" t="str" cm="1">
        <f t="array" ref="M26">IF(L26="u",
8,
  IF(AND(ISNUMBER(--_xlfn.REGEXEXTRACT(L26,"^\d+")),
      ISNUMBER(--_xlfn.REGEXEXTRACT(L26,"\d+$"))),--_xlfn.REGEXEXTRACT(L26,"\d+$")---_xlfn.REGEXEXTRACT(L26,"^\d+"),
    ""))</f>
        <v/>
      </c>
      <c r="N26" s="117"/>
      <c r="O26" s="111" t="str" cm="1">
        <f t="array" ref="O26">IF(N26="u",
8,
  IF(AND(ISNUMBER(--_xlfn.REGEXEXTRACT(N26,"^\d+")),
      ISNUMBER(--_xlfn.REGEXEXTRACT(N26,"\d+$"))),--_xlfn.REGEXEXTRACT(N26,"\d+$")---_xlfn.REGEXEXTRACT(N26,"^\d+"),
    ""))</f>
        <v/>
      </c>
      <c r="P26" s="80">
        <f t="shared" si="4"/>
        <v>42</v>
      </c>
      <c r="Q26" s="38"/>
      <c r="R26" s="116" t="s">
        <v>31</v>
      </c>
    </row>
    <row r="27" spans="1:23" ht="15.75" customHeight="1" x14ac:dyDescent="0.2">
      <c r="A27" s="49" t="str">
        <f t="shared" si="3"/>
        <v>P5</v>
      </c>
      <c r="B27" s="106" t="s">
        <v>12</v>
      </c>
      <c r="C27" s="111" cm="1">
        <f t="array" ref="C27">IF(B27="u",
8,
  IF(AND(ISNUMBER(--_xlfn.REGEXEXTRACT(B27,"^\d+")),
      ISNUMBER(--_xlfn.REGEXEXTRACT(B27,"\d+$"))),--_xlfn.REGEXEXTRACT(B27,"\d+$")---_xlfn.REGEXEXTRACT(B27,"^\d+"),
    ""))</f>
        <v>8</v>
      </c>
      <c r="D27" s="106" t="s">
        <v>24</v>
      </c>
      <c r="E27" s="111" cm="1">
        <f t="array" ref="E27">IF(D27="u",
8,
  IF(AND(ISNUMBER(--_xlfn.REGEXEXTRACT(D27,"^\d+")),
      ISNUMBER(--_xlfn.REGEXEXTRACT(D27,"\d+$"))),--_xlfn.REGEXEXTRACT(D27,"\d+$")---_xlfn.REGEXEXTRACT(D27,"^\d+"),
    ""))</f>
        <v>8</v>
      </c>
      <c r="F27" s="105" t="s">
        <v>26</v>
      </c>
      <c r="G27" s="111" t="str" cm="1">
        <f t="array" ref="G27">IF(F27="u",
8,
  IF(AND(ISNUMBER(--_xlfn.REGEXEXTRACT(F27,"^\d+")),
      ISNUMBER(--_xlfn.REGEXEXTRACT(F27,"\d+$"))),--_xlfn.REGEXEXTRACT(F27,"\d+$")---_xlfn.REGEXEXTRACT(F27,"^\d+"),
    ""))</f>
        <v/>
      </c>
      <c r="H27" s="105" t="s">
        <v>13</v>
      </c>
      <c r="I27" s="111" cm="1">
        <f t="array" ref="I27">IF(H27="u",
8,
  IF(AND(ISNUMBER(--_xlfn.REGEXEXTRACT(H27,"^\d+")),
      ISNUMBER(--_xlfn.REGEXEXTRACT(H27,"\d+$"))),--_xlfn.REGEXEXTRACT(H27,"\d+$")---_xlfn.REGEXEXTRACT(H27,"^\d+"),
    ""))</f>
        <v>8</v>
      </c>
      <c r="J27" s="105" t="s">
        <v>16</v>
      </c>
      <c r="K27" s="111" cm="1">
        <f t="array" ref="K27">IF(J27="u",
8,
  IF(AND(ISNUMBER(--_xlfn.REGEXEXTRACT(J27,"^\d+")),
      ISNUMBER(--_xlfn.REGEXEXTRACT(J27,"\d+$"))),--_xlfn.REGEXEXTRACT(J27,"\d+$")---_xlfn.REGEXEXTRACT(J27,"^\d+"),
    ""))</f>
        <v>6</v>
      </c>
      <c r="L27" s="107" t="s">
        <v>13</v>
      </c>
      <c r="M27" s="111" cm="1">
        <f t="array" ref="M27">IF(L27="u",
8,
  IF(AND(ISNUMBER(--_xlfn.REGEXEXTRACT(L27,"^\d+")),
      ISNUMBER(--_xlfn.REGEXEXTRACT(L27,"\d+$"))),--_xlfn.REGEXEXTRACT(L27,"\d+$")---_xlfn.REGEXEXTRACT(L27,"^\d+"),
    ""))</f>
        <v>8</v>
      </c>
      <c r="N27" s="69"/>
      <c r="O27" s="111" t="str" cm="1">
        <f t="array" ref="O27">IF(N27="u",
8,
  IF(AND(ISNUMBER(--_xlfn.REGEXEXTRACT(N27,"^\d+")),
      ISNUMBER(--_xlfn.REGEXEXTRACT(N27,"\d+$"))),--_xlfn.REGEXEXTRACT(N27,"\d+$")---_xlfn.REGEXEXTRACT(N27,"^\d+"),
    ""))</f>
        <v/>
      </c>
      <c r="P27" s="80">
        <f t="shared" si="4"/>
        <v>38</v>
      </c>
      <c r="Q27" s="38"/>
      <c r="R27" s="118" t="s">
        <v>35</v>
      </c>
    </row>
    <row r="28" spans="1:23" ht="15.75" customHeight="1" x14ac:dyDescent="0.2">
      <c r="A28" s="49" t="str">
        <f t="shared" si="3"/>
        <v>P6</v>
      </c>
      <c r="B28" s="105" t="s">
        <v>14</v>
      </c>
      <c r="C28" s="111" cm="1">
        <f t="array" ref="C28">IF(B28="u",
8,
  IF(AND(ISNUMBER(--_xlfn.REGEXEXTRACT(B28,"^\d+")),
      ISNUMBER(--_xlfn.REGEXEXTRACT(B28,"\d+$"))),--_xlfn.REGEXEXTRACT(B28,"\d+$")---_xlfn.REGEXEXTRACT(B28,"^\d+"),
    ""))</f>
        <v>8</v>
      </c>
      <c r="D28" s="111" t="s">
        <v>13</v>
      </c>
      <c r="E28" s="111">
        <v>8</v>
      </c>
      <c r="F28" s="111" t="s">
        <v>13</v>
      </c>
      <c r="G28" s="111" cm="1">
        <f t="array" ref="G28">IF(F28="u",
8,
  IF(AND(ISNUMBER(--_xlfn.REGEXEXTRACT(F28,"^\d+")),
      ISNUMBER(--_xlfn.REGEXEXTRACT(F28,"\d+$"))),--_xlfn.REGEXEXTRACT(F28,"\d+$")---_xlfn.REGEXEXTRACT(F28,"^\d+"),
    ""))</f>
        <v>8</v>
      </c>
      <c r="H28" s="111" t="s">
        <v>26</v>
      </c>
      <c r="I28" s="111" t="str" cm="1">
        <f t="array" ref="I28">IF(H28="u",
8,
  IF(AND(ISNUMBER(--_xlfn.REGEXEXTRACT(H28,"^\d+")),
      ISNUMBER(--_xlfn.REGEXEXTRACT(H28,"\d+$"))),--_xlfn.REGEXEXTRACT(H28,"\d+$")---_xlfn.REGEXEXTRACT(H28,"^\d+"),
    ""))</f>
        <v/>
      </c>
      <c r="J28" s="111" t="s">
        <v>47</v>
      </c>
      <c r="K28" s="111">
        <v>8</v>
      </c>
      <c r="L28" s="107" t="s">
        <v>12</v>
      </c>
      <c r="M28" s="111" cm="1">
        <f t="array" ref="M28">IF(L28="u",
6,
  IF(AND(ISNUMBER(--_xlfn.REGEXEXTRACT(L28,"^\d+")),
      ISNUMBER(--_xlfn.REGEXEXTRACT(L28,"\d+$"))),--_xlfn.REGEXEXTRACT(L28,"\d+$")---_xlfn.REGEXEXTRACT(L28,"^\d+"),
    ""))</f>
        <v>8</v>
      </c>
      <c r="N28" s="69"/>
      <c r="O28" s="111" t="str" cm="1">
        <f t="array" ref="O28">IF(N28="u",
6,
  IF(AND(ISNUMBER(--_xlfn.REGEXEXTRACT(N28,"^\d+")),
      ISNUMBER(--_xlfn.REGEXEXTRACT(N28,"\d+$"))),--_xlfn.REGEXEXTRACT(N28,"\d+$")---_xlfn.REGEXEXTRACT(N28,"^\d+"),
    ""))</f>
        <v/>
      </c>
      <c r="P28" s="80">
        <f t="shared" si="4"/>
        <v>40</v>
      </c>
      <c r="Q28" s="38"/>
      <c r="R28" s="114" t="s">
        <v>29</v>
      </c>
    </row>
    <row r="29" spans="1:23" ht="15.75" customHeight="1" x14ac:dyDescent="0.2">
      <c r="A29" s="49" t="str">
        <f t="shared" si="3"/>
        <v>P7</v>
      </c>
      <c r="B29" s="133" t="s">
        <v>33</v>
      </c>
      <c r="C29" s="134" cm="1">
        <f t="array" ref="C29">IF(B29="u",
4,
  IF(AND(ISNUMBER(--_xlfn.REGEXEXTRACT(B29,"^\d+")),
      ISNUMBER(--_xlfn.REGEXEXTRACT(B29,"\d+$"))),--_xlfn.REGEXEXTRACT(B29,"\d+$")---_xlfn.REGEXEXTRACT(B29,"^\d+"),
    ""))</f>
        <v>4</v>
      </c>
      <c r="D29" s="133" t="s">
        <v>33</v>
      </c>
      <c r="E29" s="134" cm="1">
        <f t="array" ref="E29">IF(D29="u",
4,
  IF(AND(ISNUMBER(--_xlfn.REGEXEXTRACT(D29,"^\d+")),
      ISNUMBER(--_xlfn.REGEXEXTRACT(D29,"\d+$"))),--_xlfn.REGEXEXTRACT(D29,"\d+$")---_xlfn.REGEXEXTRACT(D29,"^\d+"),
    ""))</f>
        <v>4</v>
      </c>
      <c r="F29" s="137" t="s">
        <v>33</v>
      </c>
      <c r="G29" s="134" cm="1">
        <f t="array" ref="G29">IF(F29="u",
4,
  IF(AND(ISNUMBER(--_xlfn.REGEXEXTRACT(F29,"^\d+")),
      ISNUMBER(--_xlfn.REGEXEXTRACT(F29,"\d+$"))),--_xlfn.REGEXEXTRACT(F29,"\d+$")---_xlfn.REGEXEXTRACT(F29,"^\d+"),
    ""))</f>
        <v>4</v>
      </c>
      <c r="H29" s="137" t="s">
        <v>33</v>
      </c>
      <c r="I29" s="134" cm="1">
        <f t="array" ref="I29">IF(H29="u",
4,
  IF(AND(ISNUMBER(--_xlfn.REGEXEXTRACT(H29,"^\d+")),
      ISNUMBER(--_xlfn.REGEXEXTRACT(H29,"\d+$"))),--_xlfn.REGEXEXTRACT(H29,"\d+$")---_xlfn.REGEXEXTRACT(H29,"^\d+"),
    ""))</f>
        <v>4</v>
      </c>
      <c r="J29" s="137" t="s">
        <v>33</v>
      </c>
      <c r="K29" s="134" cm="1">
        <f t="array" ref="K29">IF(J29="u",
4,
  IF(AND(ISNUMBER(--_xlfn.REGEXEXTRACT(J29,"^\d+")),
      ISNUMBER(--_xlfn.REGEXEXTRACT(J29,"\d+$"))),--_xlfn.REGEXEXTRACT(J29,"\d+$")---_xlfn.REGEXEXTRACT(J29,"^\d+"),
    ""))</f>
        <v>4</v>
      </c>
      <c r="L29" s="107" t="s">
        <v>26</v>
      </c>
      <c r="M29" s="111" t="str" cm="1">
        <f t="array" ref="M29">IF(L29="u",
4,
  IF(AND(ISNUMBER(--_xlfn.REGEXEXTRACT(L29,"^\d+")),
      ISNUMBER(--_xlfn.REGEXEXTRACT(L29,"\d+$"))),--_xlfn.REGEXEXTRACT(L29,"\d+$")---_xlfn.REGEXEXTRACT(L29,"^\d+"),
    ""))</f>
        <v/>
      </c>
      <c r="N29" s="69"/>
      <c r="O29" s="111" t="str" cm="1">
        <f t="array" ref="O29">IF(N29="u",
4,
  IF(AND(ISNUMBER(--_xlfn.REGEXEXTRACT(N29,"^\d+")),
      ISNUMBER(--_xlfn.REGEXEXTRACT(N29,"\d+$"))),--_xlfn.REGEXEXTRACT(N29,"\d+$")---_xlfn.REGEXEXTRACT(N29,"^\d+"),
    ""))</f>
        <v/>
      </c>
      <c r="P29" s="80">
        <f>SUM(O29,M29,K29,I29,G29,E29,C29)</f>
        <v>20</v>
      </c>
      <c r="Q29" s="38"/>
      <c r="R29" s="120" t="s">
        <v>36</v>
      </c>
    </row>
    <row r="30" spans="1:23" ht="15.75" customHeight="1" x14ac:dyDescent="0.2">
      <c r="A30" s="49" t="str">
        <f t="shared" si="3"/>
        <v>P8</v>
      </c>
      <c r="B30" s="105" t="s">
        <v>16</v>
      </c>
      <c r="C30" s="111" cm="1">
        <f t="array" ref="C30">IF(B30="u",
4,
  IF(AND(ISNUMBER(--_xlfn.REGEXEXTRACT(B30,"^\d+")),
      ISNUMBER(--_xlfn.REGEXEXTRACT(B30,"\d+$"))),--_xlfn.REGEXEXTRACT(B30,"\d+$")---_xlfn.REGEXEXTRACT(B30,"^\d+"),
    ""))</f>
        <v>6</v>
      </c>
      <c r="D30" s="105" t="s">
        <v>16</v>
      </c>
      <c r="E30" s="111" cm="1">
        <f t="array" ref="E30">IF(D30="u",
4,
  IF(AND(ISNUMBER(--_xlfn.REGEXEXTRACT(D30,"^\d+")),
      ISNUMBER(--_xlfn.REGEXEXTRACT(D30,"\d+$"))),--_xlfn.REGEXEXTRACT(D30,"\d+$")---_xlfn.REGEXEXTRACT(D30,"^\d+"),
    ""))</f>
        <v>6</v>
      </c>
      <c r="F30" s="105" t="s">
        <v>26</v>
      </c>
      <c r="G30" s="111"/>
      <c r="H30" s="105" t="s">
        <v>46</v>
      </c>
      <c r="I30" s="111" cm="1">
        <f t="array" ref="I30">IF(H30="u",
4,
  IF(AND(ISNUMBER(--_xlfn.REGEXEXTRACT(H30,"^\d+")),
      ISNUMBER(--_xlfn.REGEXEXTRACT(H30,"\d+$"))),--_xlfn.REGEXEXTRACT(H30,"\d+$")---_xlfn.REGEXEXTRACT(H30,"^\d+"),
    ""))</f>
        <v>9</v>
      </c>
      <c r="J30" s="105" t="s">
        <v>26</v>
      </c>
      <c r="K30" s="111" t="str" cm="1">
        <f t="array" ref="K30">IF(J30="u",
4,
  IF(AND(ISNUMBER(--_xlfn.REGEXEXTRACT(J30,"^\d+")),
      ISNUMBER(--_xlfn.REGEXEXTRACT(J30,"\d+$"))),--_xlfn.REGEXEXTRACT(J30,"\d+$")---_xlfn.REGEXEXTRACT(J30,"^\d+"),
    ""))</f>
        <v/>
      </c>
      <c r="L30" s="107" t="s">
        <v>12</v>
      </c>
      <c r="M30" s="111" cm="1">
        <f t="array" ref="M30">IF(L30="u",
4,
  IF(AND(ISNUMBER(--_xlfn.REGEXEXTRACT(L30,"^\d+")),
      ISNUMBER(--_xlfn.REGEXEXTRACT(L30,"\d+$"))),--_xlfn.REGEXEXTRACT(L30,"\d+$")---_xlfn.REGEXEXTRACT(L30,"^\d+"),
    ""))</f>
        <v>8</v>
      </c>
      <c r="N30" s="69"/>
      <c r="O30" s="111" t="str" cm="1">
        <f t="array" ref="O30">IF(N30="u",
4,
  IF(AND(ISNUMBER(--_xlfn.REGEXEXTRACT(N30,"^\d+")),
      ISNUMBER(--_xlfn.REGEXEXTRACT(N30,"\d+$"))),--_xlfn.REGEXEXTRACT(N30,"\d+$")---_xlfn.REGEXEXTRACT(N30,"^\d+"),
    ""))</f>
        <v/>
      </c>
      <c r="P30" s="80">
        <f>SUM(O30,M30,K30,I30,G30,E30,C30)</f>
        <v>29</v>
      </c>
      <c r="Q30" s="38"/>
      <c r="R30" s="122" t="s">
        <v>40</v>
      </c>
    </row>
    <row r="31" spans="1:23" ht="15.75" customHeight="1" x14ac:dyDescent="0.2">
      <c r="A31" s="87"/>
      <c r="B31" s="74"/>
      <c r="C31" s="72"/>
      <c r="D31" s="74"/>
      <c r="E31" s="72"/>
      <c r="F31" s="74"/>
      <c r="G31" s="75"/>
      <c r="H31" s="74"/>
      <c r="I31" s="76"/>
      <c r="J31" s="74"/>
      <c r="K31" s="76"/>
      <c r="L31" s="74"/>
      <c r="M31" s="76"/>
      <c r="N31" s="73"/>
      <c r="O31" s="94"/>
      <c r="P31" s="80">
        <f t="shared" si="4"/>
        <v>0</v>
      </c>
      <c r="Q31" s="38"/>
      <c r="R31" s="3"/>
    </row>
    <row r="32" spans="1:23" ht="15.75" customHeight="1" x14ac:dyDescent="0.2">
      <c r="A32" s="87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94"/>
      <c r="P32" s="80">
        <f t="shared" si="4"/>
        <v>0</v>
      </c>
      <c r="Q32" s="38"/>
      <c r="R32" s="3"/>
    </row>
    <row r="33" spans="1:29" ht="15.75" customHeight="1" x14ac:dyDescent="0.2">
      <c r="A33" s="87"/>
      <c r="B33" s="72"/>
      <c r="C33" s="72"/>
      <c r="D33" s="72"/>
      <c r="E33" s="72"/>
      <c r="F33" s="101"/>
      <c r="G33" s="73"/>
      <c r="H33" s="73"/>
      <c r="I33" s="102"/>
      <c r="J33" s="73"/>
      <c r="K33" s="75"/>
      <c r="L33" s="73"/>
      <c r="M33" s="75"/>
      <c r="N33" s="72"/>
      <c r="O33" s="103"/>
      <c r="P33" s="80">
        <f t="shared" si="4"/>
        <v>0</v>
      </c>
      <c r="Q33" s="38"/>
      <c r="R33" s="3"/>
    </row>
    <row r="34" spans="1:29" ht="15.75" customHeight="1" x14ac:dyDescent="0.2">
      <c r="A34" s="52" t="s">
        <v>9</v>
      </c>
      <c r="B34" s="150">
        <f>SUM(C23:C33)</f>
        <v>50</v>
      </c>
      <c r="C34" s="149"/>
      <c r="D34" s="150">
        <f>SUM(E23:E33)</f>
        <v>50</v>
      </c>
      <c r="E34" s="149"/>
      <c r="F34" s="150">
        <f>SUM(G23:G33)</f>
        <v>46</v>
      </c>
      <c r="G34" s="149"/>
      <c r="H34" s="150">
        <f>SUM(I23:I33)</f>
        <v>45</v>
      </c>
      <c r="I34" s="149"/>
      <c r="J34" s="150">
        <f>SUM(K23:K33)</f>
        <v>50</v>
      </c>
      <c r="K34" s="149"/>
      <c r="L34" s="150">
        <f>SUM(M23:M33)</f>
        <v>42</v>
      </c>
      <c r="M34" s="149"/>
      <c r="N34" s="150">
        <f>SUM(O23:O33)</f>
        <v>0</v>
      </c>
      <c r="O34" s="151"/>
      <c r="P34" s="56">
        <f>SUM(P23:P33)</f>
        <v>283</v>
      </c>
      <c r="Q34" s="38"/>
      <c r="R34" s="3"/>
    </row>
    <row r="35" spans="1:29" ht="30" customHeight="1" x14ac:dyDescent="0.2">
      <c r="A35" s="54"/>
      <c r="B35" s="148">
        <v>46216</v>
      </c>
      <c r="C35" s="149"/>
      <c r="D35" s="148">
        <v>46217</v>
      </c>
      <c r="E35" s="149"/>
      <c r="F35" s="148">
        <v>46218</v>
      </c>
      <c r="G35" s="149"/>
      <c r="H35" s="148">
        <v>46219</v>
      </c>
      <c r="I35" s="149"/>
      <c r="J35" s="148">
        <v>46220</v>
      </c>
      <c r="K35" s="149"/>
      <c r="L35" s="148">
        <v>46221</v>
      </c>
      <c r="M35" s="149"/>
      <c r="N35" s="148">
        <v>46222</v>
      </c>
      <c r="O35" s="149"/>
      <c r="P35" s="55"/>
      <c r="Q35" s="38"/>
      <c r="R35" s="3"/>
      <c r="AC35" s="20" t="s">
        <v>10</v>
      </c>
    </row>
    <row r="36" spans="1:29" ht="15.75" customHeight="1" x14ac:dyDescent="0.2">
      <c r="A36" s="47" t="s">
        <v>1</v>
      </c>
      <c r="B36" s="37" t="s">
        <v>2</v>
      </c>
      <c r="C36" s="6" t="s">
        <v>3</v>
      </c>
      <c r="D36" s="6" t="s">
        <v>2</v>
      </c>
      <c r="E36" s="6" t="s">
        <v>3</v>
      </c>
      <c r="F36" s="6" t="s">
        <v>2</v>
      </c>
      <c r="G36" s="6" t="s">
        <v>3</v>
      </c>
      <c r="H36" s="6" t="s">
        <v>2</v>
      </c>
      <c r="I36" s="6" t="s">
        <v>3</v>
      </c>
      <c r="J36" s="6" t="s">
        <v>2</v>
      </c>
      <c r="K36" s="6" t="s">
        <v>3</v>
      </c>
      <c r="L36" s="6" t="s">
        <v>2</v>
      </c>
      <c r="M36" s="6" t="s">
        <v>3</v>
      </c>
      <c r="N36" s="6"/>
      <c r="O36" s="7" t="s">
        <v>3</v>
      </c>
      <c r="P36" s="48" t="s">
        <v>5</v>
      </c>
      <c r="Q36" s="38"/>
      <c r="R36" s="3"/>
    </row>
    <row r="37" spans="1:29" ht="15.75" customHeight="1" x14ac:dyDescent="0.2">
      <c r="A37" s="57" t="str">
        <f t="shared" ref="A37:A44" si="5">A23</f>
        <v>P1</v>
      </c>
      <c r="B37" s="121" t="s">
        <v>26</v>
      </c>
      <c r="C37" s="111" t="str" cm="1">
        <f t="array" ref="C37">IF(B37="u",
8,
  IF(AND(ISNUMBER(--_xlfn.REGEXEXTRACT(B37,"^\d+")),
      ISNUMBER(--_xlfn.REGEXEXTRACT(B37,"\d+$"))),--_xlfn.REGEXEXTRACT(B37,"\d+$")---_xlfn.REGEXEXTRACT(B37,"^\d+"),
    ""))</f>
        <v/>
      </c>
      <c r="D37" s="105" t="s">
        <v>13</v>
      </c>
      <c r="E37" s="111" cm="1">
        <f t="array" ref="E37">IF(D37="u",
8,
  IF(AND(ISNUMBER(--_xlfn.REGEXEXTRACT(D37,"^\d+")),
      ISNUMBER(--_xlfn.REGEXEXTRACT(D37,"\d+$"))),--_xlfn.REGEXEXTRACT(D37,"\d+$")---_xlfn.REGEXEXTRACT(D37,"^\d+"),
    ""))</f>
        <v>8</v>
      </c>
      <c r="F37" s="105" t="s">
        <v>12</v>
      </c>
      <c r="G37" s="111" cm="1">
        <f t="array" ref="G37">IF(F37="u",
8,
  IF(AND(ISNUMBER(--_xlfn.REGEXEXTRACT(F37,"^\d+")),
      ISNUMBER(--_xlfn.REGEXEXTRACT(F37,"\d+$"))),--_xlfn.REGEXEXTRACT(F37,"\d+$")---_xlfn.REGEXEXTRACT(F37,"^\d+"),
    ""))</f>
        <v>8</v>
      </c>
      <c r="H37" s="105" t="s">
        <v>38</v>
      </c>
      <c r="I37" s="111" cm="1">
        <f t="array" ref="I37">IF(H37="u",
8,
  IF(AND(ISNUMBER(--_xlfn.REGEXEXTRACT(H37,"^\d+")),
      ISNUMBER(--_xlfn.REGEXEXTRACT(H37,"\d+$"))),--_xlfn.REGEXEXTRACT(H37,"\d+$")---_xlfn.REGEXEXTRACT(H37,"^\d+"),
    ""))</f>
        <v>10</v>
      </c>
      <c r="J37" s="105" t="s">
        <v>12</v>
      </c>
      <c r="K37" s="111" cm="1">
        <f t="array" ref="K37">IF(J37="u",
8,
  IF(AND(ISNUMBER(--_xlfn.REGEXEXTRACT(J37,"^\d+")),
      ISNUMBER(--_xlfn.REGEXEXTRACT(J37,"\d+$"))),--_xlfn.REGEXEXTRACT(J37,"\d+$")---_xlfn.REGEXEXTRACT(J37,"^\d+"),
    ""))</f>
        <v>8</v>
      </c>
      <c r="L37" s="107" t="s">
        <v>13</v>
      </c>
      <c r="M37" s="111" cm="1">
        <f t="array" ref="M37">IF(L37="u",
8,
  IF(AND(ISNUMBER(--_xlfn.REGEXEXTRACT(L37,"^\d+")),
      ISNUMBER(--_xlfn.REGEXEXTRACT(L37,"\d+$"))),--_xlfn.REGEXEXTRACT(L37,"\d+$")---_xlfn.REGEXEXTRACT(L37,"^\d+"),
    ""))</f>
        <v>8</v>
      </c>
      <c r="N37" s="117"/>
      <c r="O37" s="111" t="str" cm="1">
        <f t="array" ref="O37">IF(N37="u",
8,
  IF(AND(ISNUMBER(--_xlfn.REGEXEXTRACT(N37,"^\d+")),
      ISNUMBER(--_xlfn.REGEXEXTRACT(N37,"\d+$"))),--_xlfn.REGEXEXTRACT(N37,"\d+$")---_xlfn.REGEXEXTRACT(N37,"^\d+"),
    ""))</f>
        <v/>
      </c>
      <c r="P37" s="50">
        <f t="shared" ref="P37:P47" si="6">SUM(O37,M37,K37,I37,G37,E37,C37)</f>
        <v>42</v>
      </c>
      <c r="Q37" s="38"/>
      <c r="R37" s="3"/>
    </row>
    <row r="38" spans="1:29" ht="15.75" customHeight="1" x14ac:dyDescent="0.2">
      <c r="A38" s="57" t="str">
        <f t="shared" si="5"/>
        <v>P2</v>
      </c>
      <c r="B38" s="113" t="s">
        <v>12</v>
      </c>
      <c r="C38" s="111" cm="1">
        <f t="array" ref="C38">IF(B38="u",
8,
  IF(AND(ISNUMBER(--_xlfn.REGEXEXTRACT(B38,"^\d+")),
      ISNUMBER(--_xlfn.REGEXEXTRACT(B38,"\d+$"))),--_xlfn.REGEXEXTRACT(B38,"\d+$")---_xlfn.REGEXEXTRACT(B38,"^\d+"),
    ""))</f>
        <v>8</v>
      </c>
      <c r="D38" s="105" t="s">
        <v>24</v>
      </c>
      <c r="E38" s="111" cm="1">
        <f t="array" ref="E38">IF(D38="u",
8,
  IF(AND(ISNUMBER(--_xlfn.REGEXEXTRACT(D38,"^\d+")),
      ISNUMBER(--_xlfn.REGEXEXTRACT(D38,"\d+$"))),--_xlfn.REGEXEXTRACT(D38,"\d+$")---_xlfn.REGEXEXTRACT(D38,"^\d+"),
    ""))</f>
        <v>8</v>
      </c>
      <c r="F38" s="105" t="s">
        <v>13</v>
      </c>
      <c r="G38" s="111" cm="1">
        <f t="array" ref="G38">IF(F38="u",
8,
  IF(AND(ISNUMBER(--_xlfn.REGEXEXTRACT(F38,"^\d+")),
      ISNUMBER(--_xlfn.REGEXEXTRACT(F38,"\d+$"))),--_xlfn.REGEXEXTRACT(F38,"\d+$")---_xlfn.REGEXEXTRACT(F38,"^\d+"),
    ""))</f>
        <v>8</v>
      </c>
      <c r="H38" s="105" t="s">
        <v>13</v>
      </c>
      <c r="I38" s="111" cm="1">
        <f t="array" ref="I38">IF(H38="u",
8,
  IF(AND(ISNUMBER(--_xlfn.REGEXEXTRACT(H38,"^\d+")),
      ISNUMBER(--_xlfn.REGEXEXTRACT(H38,"\d+$"))),--_xlfn.REGEXEXTRACT(H38,"\d+$")---_xlfn.REGEXEXTRACT(H38,"^\d+"),
    ""))</f>
        <v>8</v>
      </c>
      <c r="J38" s="105" t="s">
        <v>46</v>
      </c>
      <c r="K38" s="111" cm="1">
        <f t="array" ref="K38">IF(J38="u",
8,
  IF(AND(ISNUMBER(--_xlfn.REGEXEXTRACT(J38,"^\d+")),
      ISNUMBER(--_xlfn.REGEXEXTRACT(J38,"\d+$"))),--_xlfn.REGEXEXTRACT(J38,"\d+$")---_xlfn.REGEXEXTRACT(J38,"^\d+"),
    ""))</f>
        <v>9</v>
      </c>
      <c r="L38" s="107" t="s">
        <v>26</v>
      </c>
      <c r="M38" s="111" t="str" cm="1">
        <f t="array" ref="M38">IF(L38="u",
8,
  IF(AND(ISNUMBER(--_xlfn.REGEXEXTRACT(L38,"^\d+")),
      ISNUMBER(--_xlfn.REGEXEXTRACT(L38,"\d+$"))),--_xlfn.REGEXEXTRACT(L38,"\d+$")---_xlfn.REGEXEXTRACT(L38,"^\d+"),
    ""))</f>
        <v/>
      </c>
      <c r="N38" s="69"/>
      <c r="O38" s="111" t="str" cm="1">
        <f t="array" ref="O38">IF(N38="u",
8,
  IF(AND(ISNUMBER(--_xlfn.REGEXEXTRACT(N38,"^\d+")),
      ISNUMBER(--_xlfn.REGEXEXTRACT(N38,"\d+$"))),--_xlfn.REGEXEXTRACT(N38,"\d+$")---_xlfn.REGEXEXTRACT(N38,"^\d+"),
    ""))</f>
        <v/>
      </c>
      <c r="P38" s="50">
        <f t="shared" si="6"/>
        <v>41</v>
      </c>
      <c r="Q38" s="38"/>
      <c r="R38" s="3"/>
    </row>
    <row r="39" spans="1:29" ht="15.75" customHeight="1" x14ac:dyDescent="0.2">
      <c r="A39" s="57" t="str">
        <f t="shared" si="5"/>
        <v>P3</v>
      </c>
      <c r="B39" s="113" t="s">
        <v>13</v>
      </c>
      <c r="C39" s="111" cm="1">
        <f t="array" ref="C39">IF(B39="u",
  4,
  IF(AND(ISNUMBER(--_xlfn.REGEXEXTRACT(B39,"^\d+")),
      ISNUMBER(--_xlfn.REGEXEXTRACT(B39,"\d+$"))),--_xlfn.REGEXEXTRACT(B39,"\d+$")---_xlfn.REGEXEXTRACT(B39,"^\d+"),
    ""))</f>
        <v>8</v>
      </c>
      <c r="D39" s="105" t="s">
        <v>16</v>
      </c>
      <c r="E39" s="111" cm="1">
        <f t="array" ref="E39">IF(D39="u",
  4,
  IF(AND(ISNUMBER(--_xlfn.REGEXEXTRACT(D39,"^\d+")),
      ISNUMBER(--_xlfn.REGEXEXTRACT(D39,"\d+$"))),--_xlfn.REGEXEXTRACT(D39,"\d+$")---_xlfn.REGEXEXTRACT(D39,"^\d+"),
    ""))</f>
        <v>6</v>
      </c>
      <c r="F39" s="105" t="s">
        <v>46</v>
      </c>
      <c r="G39" s="111" cm="1">
        <f t="array" ref="G39">IF(F39="u",
  4,
  IF(AND(ISNUMBER(--_xlfn.REGEXEXTRACT(F39,"^\d+")),
      ISNUMBER(--_xlfn.REGEXEXTRACT(F39,"\d+$"))),--_xlfn.REGEXEXTRACT(F39,"\d+$")---_xlfn.REGEXEXTRACT(F39,"^\d+"),
    ""))</f>
        <v>9</v>
      </c>
      <c r="H39" s="105" t="s">
        <v>26</v>
      </c>
      <c r="I39" s="111" t="str" cm="1">
        <f t="array" ref="I39">IF(H39="u",
  4,
  IF(AND(ISNUMBER(--_xlfn.REGEXEXTRACT(H39,"^\d+")),
      ISNUMBER(--_xlfn.REGEXEXTRACT(H39,"\d+$"))),--_xlfn.REGEXEXTRACT(H39,"\d+$")---_xlfn.REGEXEXTRACT(H39,"^\d+"),
    ""))</f>
        <v/>
      </c>
      <c r="J39" s="105" t="s">
        <v>26</v>
      </c>
      <c r="K39" s="111" t="str" cm="1">
        <f t="array" ref="K39">IF(J39="u",
  4,
  IF(AND(ISNUMBER(--_xlfn.REGEXEXTRACT(J39,"^\d+")),
      ISNUMBER(--_xlfn.REGEXEXTRACT(J39,"\d+$"))),--_xlfn.REGEXEXTRACT(J39,"\d+$")---_xlfn.REGEXEXTRACT(J39,"^\d+"),
    ""))</f>
        <v/>
      </c>
      <c r="L39" s="107" t="s">
        <v>12</v>
      </c>
      <c r="M39" s="111" cm="1">
        <f t="array" ref="M39">IF(L39="u",
  4,
  IF(AND(ISNUMBER(--_xlfn.REGEXEXTRACT(L39,"^\d+")),
      ISNUMBER(--_xlfn.REGEXEXTRACT(L39,"\d+$"))),--_xlfn.REGEXEXTRACT(L39,"\d+$")---_xlfn.REGEXEXTRACT(L39,"^\d+"),
    ""))</f>
        <v>8</v>
      </c>
      <c r="N39" s="69"/>
      <c r="O39" s="111" t="str" cm="1">
        <f t="array" ref="O39">IF(N39="u",
  4,
  IF(AND(ISNUMBER(--_xlfn.REGEXEXTRACT(N39,"^\d+")),
      ISNUMBER(--_xlfn.REGEXEXTRACT(N39,"\d+$"))),--_xlfn.REGEXEXTRACT(N39,"\d+$")---_xlfn.REGEXEXTRACT(N39,"^\d+"),
    ""))</f>
        <v/>
      </c>
      <c r="P39" s="50">
        <f t="shared" si="6"/>
        <v>31</v>
      </c>
      <c r="Q39" s="38"/>
      <c r="R39" s="3"/>
    </row>
    <row r="40" spans="1:29" ht="15.75" customHeight="1" x14ac:dyDescent="0.2">
      <c r="A40" s="57" t="str">
        <f t="shared" si="5"/>
        <v>P4</v>
      </c>
      <c r="B40" s="138" t="s">
        <v>33</v>
      </c>
      <c r="C40" s="134" cm="1">
        <f t="array" ref="C40">IF(B40="u",
8,
  IF(AND(ISNUMBER(--_xlfn.REGEXEXTRACT(B40,"^\d+")),
      ISNUMBER(--_xlfn.REGEXEXTRACT(B40,"\d+$"))),--_xlfn.REGEXEXTRACT(B40,"\d+$")---_xlfn.REGEXEXTRACT(B40,"^\d+"),
    ""))</f>
        <v>8</v>
      </c>
      <c r="D40" s="133" t="s">
        <v>33</v>
      </c>
      <c r="E40" s="134" cm="1">
        <f t="array" ref="E40">IF(D40="u",
8,
  IF(AND(ISNUMBER(--_xlfn.REGEXEXTRACT(D40,"^\d+")),
      ISNUMBER(--_xlfn.REGEXEXTRACT(D40,"\d+$"))),--_xlfn.REGEXEXTRACT(D40,"\d+$")---_xlfn.REGEXEXTRACT(D40,"^\d+"),
    ""))</f>
        <v>8</v>
      </c>
      <c r="F40" s="133" t="s">
        <v>33</v>
      </c>
      <c r="G40" s="134" cm="1">
        <f t="array" ref="G40">IF(F40="u",
8,
  IF(AND(ISNUMBER(--_xlfn.REGEXEXTRACT(F40,"^\d+")),
      ISNUMBER(--_xlfn.REGEXEXTRACT(F40,"\d+$"))),--_xlfn.REGEXEXTRACT(F40,"\d+$")---_xlfn.REGEXEXTRACT(F40,"^\d+"),
    ""))</f>
        <v>8</v>
      </c>
      <c r="H40" s="134" cm="1">
        <f t="array" ref="H40">IF(G40="u",
8,
  IF(AND(ISNUMBER(--_xlfn.REGEXEXTRACT(G40,"^\d+")),
      ISNUMBER(--_xlfn.REGEXEXTRACT(G40,"\d+$"))),--_xlfn.REGEXEXTRACT(G40,"\d+$")---_xlfn.REGEXEXTRACT(G40,"^\d+"),
    ""))</f>
        <v>0</v>
      </c>
      <c r="I40" s="134">
        <v>8</v>
      </c>
      <c r="J40" s="133" t="s">
        <v>33</v>
      </c>
      <c r="K40" s="134" cm="1">
        <f t="array" ref="K40">IF(J40="u",
8,
  IF(AND(ISNUMBER(--_xlfn.REGEXEXTRACT(J40,"^\d+")),
      ISNUMBER(--_xlfn.REGEXEXTRACT(J40,"\d+$"))),--_xlfn.REGEXEXTRACT(J40,"\d+$")---_xlfn.REGEXEXTRACT(J40,"^\d+"),
    ""))</f>
        <v>8</v>
      </c>
      <c r="L40" s="107" t="s">
        <v>13</v>
      </c>
      <c r="M40" s="111" cm="1">
        <f t="array" ref="M40">IF(L40="u",
8,
  IF(AND(ISNUMBER(--_xlfn.REGEXEXTRACT(L40,"^\d+")),
      ISNUMBER(--_xlfn.REGEXEXTRACT(L40,"\d+$"))),--_xlfn.REGEXEXTRACT(L40,"\d+$")---_xlfn.REGEXEXTRACT(L40,"^\d+"),
    ""))</f>
        <v>8</v>
      </c>
      <c r="N40" s="69"/>
      <c r="O40" s="111" t="str" cm="1">
        <f t="array" ref="O40">IF(N40="u",
8,
  IF(AND(ISNUMBER(--_xlfn.REGEXEXTRACT(N40,"^\d+")),
      ISNUMBER(--_xlfn.REGEXEXTRACT(N40,"\d+$"))),--_xlfn.REGEXEXTRACT(N40,"\d+$")---_xlfn.REGEXEXTRACT(N40,"^\d+"),
    ""))</f>
        <v/>
      </c>
      <c r="P40" s="50">
        <f t="shared" si="6"/>
        <v>48</v>
      </c>
      <c r="Q40" s="38"/>
      <c r="R40" s="3"/>
      <c r="S40" s="3"/>
      <c r="T40" s="3"/>
      <c r="U40" s="3"/>
      <c r="V40" s="3"/>
      <c r="W40" s="3"/>
    </row>
    <row r="41" spans="1:29" ht="15.75" customHeight="1" x14ac:dyDescent="0.2">
      <c r="A41" s="57" t="str">
        <f t="shared" si="5"/>
        <v>P5</v>
      </c>
      <c r="B41" s="113" t="s">
        <v>12</v>
      </c>
      <c r="C41" s="111" cm="1">
        <f t="array" ref="C41">IF(B41="u",
8,
  IF(AND(ISNUMBER(--_xlfn.REGEXEXTRACT(B41,"^\d+")),
      ISNUMBER(--_xlfn.REGEXEXTRACT(B41,"\d+$"))),--_xlfn.REGEXEXTRACT(B41,"\d+$")---_xlfn.REGEXEXTRACT(B41,"^\d+"),
    ""))</f>
        <v>8</v>
      </c>
      <c r="D41" s="105" t="s">
        <v>24</v>
      </c>
      <c r="E41" s="111" cm="1">
        <f t="array" ref="E41">IF(D41="u",
8,
  IF(AND(ISNUMBER(--_xlfn.REGEXEXTRACT(D41,"^\d+")),
      ISNUMBER(--_xlfn.REGEXEXTRACT(D41,"\d+$"))),--_xlfn.REGEXEXTRACT(D41,"\d+$")---_xlfn.REGEXEXTRACT(D41,"^\d+"),
    ""))</f>
        <v>8</v>
      </c>
      <c r="F41" s="105" t="s">
        <v>26</v>
      </c>
      <c r="G41" s="111" t="str" cm="1">
        <f t="array" ref="G41">IF(F41="u",
8,
  IF(AND(ISNUMBER(--_xlfn.REGEXEXTRACT(F41,"^\d+")),
      ISNUMBER(--_xlfn.REGEXEXTRACT(F41,"\d+$"))),--_xlfn.REGEXEXTRACT(F41,"\d+$")---_xlfn.REGEXEXTRACT(F41,"^\d+"),
    ""))</f>
        <v/>
      </c>
      <c r="H41" s="105" t="s">
        <v>12</v>
      </c>
      <c r="I41" s="111" cm="1">
        <f t="array" ref="I41">IF(H41="u",
8,
  IF(AND(ISNUMBER(--_xlfn.REGEXEXTRACT(H41,"^\d+")),
      ISNUMBER(--_xlfn.REGEXEXTRACT(H41,"\d+$"))),--_xlfn.REGEXEXTRACT(H41,"\d+$")---_xlfn.REGEXEXTRACT(H41,"^\d+"),
    ""))</f>
        <v>8</v>
      </c>
      <c r="J41" s="105" t="s">
        <v>13</v>
      </c>
      <c r="K41" s="111" cm="1">
        <f t="array" ref="K41">IF(J41="u",
8,
  IF(AND(ISNUMBER(--_xlfn.REGEXEXTRACT(J41,"^\d+")),
      ISNUMBER(--_xlfn.REGEXEXTRACT(J41,"\d+$"))),--_xlfn.REGEXEXTRACT(J41,"\d+$")---_xlfn.REGEXEXTRACT(J41,"^\d+"),
    ""))</f>
        <v>8</v>
      </c>
      <c r="L41" s="107" t="s">
        <v>32</v>
      </c>
      <c r="M41" s="111" cm="1">
        <f t="array" ref="M41">IF(L41="u",
8,
  IF(AND(ISNUMBER(--_xlfn.REGEXEXTRACT(L41,"^\d+")),
      ISNUMBER(--_xlfn.REGEXEXTRACT(L41,"\d+$"))),--_xlfn.REGEXEXTRACT(L41,"\d+$")---_xlfn.REGEXEXTRACT(L41,"^\d+"),
    ""))</f>
        <v>10</v>
      </c>
      <c r="N41" s="69"/>
      <c r="O41" s="111" t="str" cm="1">
        <f t="array" ref="O41">IF(N41="u",
8,
  IF(AND(ISNUMBER(--_xlfn.REGEXEXTRACT(N41,"^\d+")),
      ISNUMBER(--_xlfn.REGEXEXTRACT(N41,"\d+$"))),--_xlfn.REGEXEXTRACT(N41,"\d+$")---_xlfn.REGEXEXTRACT(N41,"^\d+"),
    ""))</f>
        <v/>
      </c>
      <c r="P41" s="50">
        <f t="shared" si="6"/>
        <v>42</v>
      </c>
      <c r="Q41" s="38"/>
      <c r="R41" s="3"/>
      <c r="S41" s="3"/>
      <c r="T41" s="3"/>
      <c r="U41" s="3"/>
      <c r="V41" s="3"/>
      <c r="W41" s="3"/>
    </row>
    <row r="42" spans="1:29" ht="15.75" customHeight="1" x14ac:dyDescent="0.2">
      <c r="A42" s="57" t="str">
        <f t="shared" si="5"/>
        <v>P6</v>
      </c>
      <c r="B42" s="113" t="s">
        <v>41</v>
      </c>
      <c r="C42" s="111">
        <v>10</v>
      </c>
      <c r="D42" s="111" t="s">
        <v>48</v>
      </c>
      <c r="E42" s="111">
        <v>8</v>
      </c>
      <c r="F42" s="111" t="s">
        <v>13</v>
      </c>
      <c r="G42" s="111">
        <v>8</v>
      </c>
      <c r="H42" s="111" t="s">
        <v>49</v>
      </c>
      <c r="I42" s="111">
        <v>8</v>
      </c>
      <c r="J42" s="139" t="s">
        <v>26</v>
      </c>
      <c r="K42" s="111"/>
      <c r="L42" s="123" t="s">
        <v>26</v>
      </c>
      <c r="M42" s="111" t="str" cm="1">
        <f t="array" ref="M42">IF(L42="u",
6,
  IF(AND(ISNUMBER(--_xlfn.REGEXEXTRACT(L42,"^\d+")),
      ISNUMBER(--_xlfn.REGEXEXTRACT(L42,"\d+$"))),--_xlfn.REGEXEXTRACT(L42,"\d+$")---_xlfn.REGEXEXTRACT(L42,"^\d+"),
    ""))</f>
        <v/>
      </c>
      <c r="N42" s="69"/>
      <c r="O42" s="111" t="str" cm="1">
        <f t="array" ref="O42">IF(N42="u",
6,
  IF(AND(ISNUMBER(--_xlfn.REGEXEXTRACT(N42,"^\d+")),
      ISNUMBER(--_xlfn.REGEXEXTRACT(N42,"\d+$"))),--_xlfn.REGEXEXTRACT(N42,"\d+$")---_xlfn.REGEXEXTRACT(N42,"^\d+"),
    ""))</f>
        <v/>
      </c>
      <c r="P42" s="50">
        <f t="shared" si="6"/>
        <v>34</v>
      </c>
      <c r="Q42" s="38"/>
      <c r="R42" s="3"/>
      <c r="S42" s="3"/>
      <c r="T42" s="3"/>
      <c r="U42" s="3"/>
      <c r="V42" s="3"/>
      <c r="W42" s="3"/>
    </row>
    <row r="43" spans="1:29" ht="15.75" customHeight="1" x14ac:dyDescent="0.2">
      <c r="A43" s="57" t="str">
        <f t="shared" si="5"/>
        <v>P7</v>
      </c>
      <c r="B43" s="113" t="s">
        <v>26</v>
      </c>
      <c r="C43" s="111" t="str" cm="1">
        <f t="array" ref="C43">IF(B43="u",
4,
  IF(AND(ISNUMBER(--_xlfn.REGEXEXTRACT(B43,"^\d+")),
      ISNUMBER(--_xlfn.REGEXEXTRACT(B43,"\d+$"))),--_xlfn.REGEXEXTRACT(B43,"\d+$")---_xlfn.REGEXEXTRACT(B43,"^\d+"),
    ""))</f>
        <v/>
      </c>
      <c r="D43" s="105" t="s">
        <v>26</v>
      </c>
      <c r="E43" s="111" t="str" cm="1">
        <f t="array" ref="E43">IF(D43="u",
4,
  IF(AND(ISNUMBER(--_xlfn.REGEXEXTRACT(D43,"^\d+")),
      ISNUMBER(--_xlfn.REGEXEXTRACT(D43,"\d+$"))),--_xlfn.REGEXEXTRACT(D43,"\d+$")---_xlfn.REGEXEXTRACT(D43,"^\d+"),
    ""))</f>
        <v/>
      </c>
      <c r="F43" s="105" t="s">
        <v>26</v>
      </c>
      <c r="G43" s="111" t="str" cm="1">
        <f t="array" ref="G43">IF(F43="u",
4,
  IF(AND(ISNUMBER(--_xlfn.REGEXEXTRACT(F43,"^\d+")),
      ISNUMBER(--_xlfn.REGEXEXTRACT(F43,"\d+$"))),--_xlfn.REGEXEXTRACT(F43,"\d+$")---_xlfn.REGEXEXTRACT(F43,"^\d+"),
    ""))</f>
        <v/>
      </c>
      <c r="H43" s="106" t="s">
        <v>30</v>
      </c>
      <c r="I43" s="111" cm="1">
        <f t="array" ref="I43">IF(H43="u",
4,
  IF(AND(ISNUMBER(--_xlfn.REGEXEXTRACT(H43,"^\d+")),
      ISNUMBER(--_xlfn.REGEXEXTRACT(H43,"\d+$"))),--_xlfn.REGEXEXTRACT(H43,"\d+$")---_xlfn.REGEXEXTRACT(H43,"^\d+"),
    ""))</f>
        <v>7</v>
      </c>
      <c r="J43" s="106" t="s">
        <v>16</v>
      </c>
      <c r="K43" s="111" cm="1">
        <f t="array" ref="K43">IF(J43="u",
4,
  IF(AND(ISNUMBER(--_xlfn.REGEXEXTRACT(J43,"^\d+")),
      ISNUMBER(--_xlfn.REGEXEXTRACT(J43,"\d+$"))),--_xlfn.REGEXEXTRACT(J43,"\d+$")---_xlfn.REGEXEXTRACT(J43,"^\d+"),
    ""))</f>
        <v>6</v>
      </c>
      <c r="L43" s="108" t="s">
        <v>34</v>
      </c>
      <c r="M43" s="111" cm="1">
        <f t="array" ref="M43">IF(L43="u",
4,
  IF(AND(ISNUMBER(--_xlfn.REGEXEXTRACT(L43,"^\d+")),
      ISNUMBER(--_xlfn.REGEXEXTRACT(L43,"\d+$"))),--_xlfn.REGEXEXTRACT(L43,"\d+$")---_xlfn.REGEXEXTRACT(L43,"^\d+"),
    ""))</f>
        <v>10</v>
      </c>
      <c r="N43" s="117"/>
      <c r="O43" s="111" t="str" cm="1">
        <f t="array" ref="O43">IF(N43="u",
4,
  IF(AND(ISNUMBER(--_xlfn.REGEXEXTRACT(N43,"^\d+")),
      ISNUMBER(--_xlfn.REGEXEXTRACT(N43,"\d+$"))),--_xlfn.REGEXEXTRACT(N43,"\d+$")---_xlfn.REGEXEXTRACT(N43,"^\d+"),
    ""))</f>
        <v/>
      </c>
      <c r="P43" s="50">
        <f t="shared" si="6"/>
        <v>23</v>
      </c>
      <c r="Q43" s="38"/>
      <c r="R43" s="3"/>
      <c r="S43" s="3"/>
      <c r="T43" s="3"/>
      <c r="U43" s="3"/>
      <c r="V43" s="3"/>
      <c r="W43" s="3"/>
    </row>
    <row r="44" spans="1:29" ht="15.75" customHeight="1" x14ac:dyDescent="0.2">
      <c r="A44" s="57" t="str">
        <f t="shared" si="5"/>
        <v>P8</v>
      </c>
      <c r="B44" s="138" t="s">
        <v>33</v>
      </c>
      <c r="C44" s="134" cm="1">
        <f t="array" ref="C44">IF(B44="u",
4,
  IF(AND(ISNUMBER(--_xlfn.REGEXEXTRACT(B44,"^\d+")),
      ISNUMBER(--_xlfn.REGEXEXTRACT(B44,"\d+$"))),--_xlfn.REGEXEXTRACT(B44,"\d+$")---_xlfn.REGEXEXTRACT(B44,"^\d+"),
    ""))</f>
        <v>4</v>
      </c>
      <c r="D44" s="133" t="s">
        <v>33</v>
      </c>
      <c r="E44" s="134" cm="1">
        <f t="array" ref="E44">IF(D44="u",
4,
  IF(AND(ISNUMBER(--_xlfn.REGEXEXTRACT(D44,"^\d+")),
      ISNUMBER(--_xlfn.REGEXEXTRACT(D44,"\d+$"))),--_xlfn.REGEXEXTRACT(D44,"\d+$")---_xlfn.REGEXEXTRACT(D44,"^\d+"),
    ""))</f>
        <v>4</v>
      </c>
      <c r="F44" s="133" t="s">
        <v>33</v>
      </c>
      <c r="G44" s="134" cm="1">
        <f t="array" ref="G44">IF(F44="u",
4,
  IF(AND(ISNUMBER(--_xlfn.REGEXEXTRACT(F44,"^\d+")),
      ISNUMBER(--_xlfn.REGEXEXTRACT(F44,"\d+$"))),--_xlfn.REGEXEXTRACT(F44,"\d+$")---_xlfn.REGEXEXTRACT(F44,"^\d+"),
    ""))</f>
        <v>4</v>
      </c>
      <c r="H44" s="133" t="s">
        <v>33</v>
      </c>
      <c r="I44" s="134" cm="1">
        <f t="array" ref="I44">IF(H44="u",
4,
  IF(AND(ISNUMBER(--_xlfn.REGEXEXTRACT(H44,"^\d+")),
      ISNUMBER(--_xlfn.REGEXEXTRACT(H44,"\d+$"))),--_xlfn.REGEXEXTRACT(H44,"\d+$")---_xlfn.REGEXEXTRACT(H44,"^\d+"),
    ""))</f>
        <v>4</v>
      </c>
      <c r="J44" s="133" t="s">
        <v>33</v>
      </c>
      <c r="K44" s="134" cm="1">
        <f t="array" ref="K44">IF(J44="u",
4,
  IF(AND(ISNUMBER(--_xlfn.REGEXEXTRACT(J44,"^\d+")),
      ISNUMBER(--_xlfn.REGEXEXTRACT(J44,"\d+$"))),--_xlfn.REGEXEXTRACT(J44,"\d+$")---_xlfn.REGEXEXTRACT(J44,"^\d+"),
    ""))</f>
        <v>4</v>
      </c>
      <c r="L44" s="107" t="s">
        <v>26</v>
      </c>
      <c r="M44" s="111" t="str" cm="1">
        <f t="array" ref="M44">IF(L44="u",
4,
  IF(AND(ISNUMBER(--_xlfn.REGEXEXTRACT(L44,"^\d+")),
      ISNUMBER(--_xlfn.REGEXEXTRACT(L44,"\d+$"))),--_xlfn.REGEXEXTRACT(L44,"\d+$")---_xlfn.REGEXEXTRACT(L44,"^\d+"),
    ""))</f>
        <v/>
      </c>
      <c r="N44" s="69"/>
      <c r="O44" s="111" t="str" cm="1">
        <f t="array" ref="O44">IF(N44="u",
4,
  IF(AND(ISNUMBER(--_xlfn.REGEXEXTRACT(N44,"^\d+")),
      ISNUMBER(--_xlfn.REGEXEXTRACT(N44,"\d+$"))),--_xlfn.REGEXEXTRACT(N44,"\d+$")---_xlfn.REGEXEXTRACT(N44,"^\d+"),
    ""))</f>
        <v/>
      </c>
      <c r="P44" s="50">
        <f t="shared" si="6"/>
        <v>20</v>
      </c>
      <c r="Q44" s="38"/>
      <c r="R44" s="3"/>
      <c r="S44" s="3"/>
      <c r="T44" s="3"/>
      <c r="U44" s="3"/>
      <c r="V44" s="3"/>
      <c r="W44" s="3"/>
    </row>
    <row r="45" spans="1:29" ht="15.75" customHeight="1" x14ac:dyDescent="0.2">
      <c r="A45" s="92"/>
      <c r="B45" s="93"/>
      <c r="C45" s="89"/>
      <c r="D45" s="74"/>
      <c r="E45" s="72"/>
      <c r="F45" s="73"/>
      <c r="G45" s="75"/>
      <c r="H45" s="74"/>
      <c r="I45" s="76"/>
      <c r="J45" s="74"/>
      <c r="K45" s="76"/>
      <c r="L45" s="74"/>
      <c r="M45" s="76"/>
      <c r="N45" s="72"/>
      <c r="O45" s="94"/>
      <c r="P45" s="51">
        <f t="shared" si="6"/>
        <v>0</v>
      </c>
      <c r="Q45" s="38"/>
      <c r="R45" s="3"/>
      <c r="S45" s="3"/>
      <c r="T45" s="3"/>
      <c r="U45" s="3"/>
      <c r="V45" s="3"/>
      <c r="W45" s="3"/>
    </row>
    <row r="46" spans="1:29" ht="15.75" customHeight="1" x14ac:dyDescent="0.2">
      <c r="A46" s="92"/>
      <c r="B46" s="95"/>
      <c r="C46" s="89"/>
      <c r="D46" s="72"/>
      <c r="E46" s="72"/>
      <c r="F46" s="96"/>
      <c r="G46" s="97"/>
      <c r="H46" s="98"/>
      <c r="I46" s="75"/>
      <c r="J46" s="73"/>
      <c r="K46" s="75"/>
      <c r="L46" s="73"/>
      <c r="M46" s="75"/>
      <c r="N46" s="72"/>
      <c r="O46" s="94"/>
      <c r="P46" s="51">
        <f t="shared" si="6"/>
        <v>0</v>
      </c>
      <c r="Q46" s="38"/>
      <c r="R46" s="3"/>
      <c r="S46" s="3"/>
      <c r="T46" s="3"/>
      <c r="U46" s="3"/>
      <c r="V46" s="3"/>
      <c r="W46" s="3"/>
    </row>
    <row r="47" spans="1:29" ht="15.75" customHeight="1" x14ac:dyDescent="0.2">
      <c r="A47" s="99"/>
      <c r="B47" s="100"/>
      <c r="C47" s="72"/>
      <c r="D47" s="72"/>
      <c r="E47" s="72"/>
      <c r="F47" s="72"/>
      <c r="G47" s="73"/>
      <c r="H47" s="73"/>
      <c r="I47" s="75"/>
      <c r="J47" s="73"/>
      <c r="K47" s="75"/>
      <c r="L47" s="73"/>
      <c r="M47" s="75"/>
      <c r="N47" s="101"/>
      <c r="O47" s="90"/>
      <c r="P47" s="51">
        <f t="shared" si="6"/>
        <v>0</v>
      </c>
      <c r="Q47" s="38"/>
      <c r="R47" s="3"/>
      <c r="S47" s="3"/>
      <c r="T47" s="3"/>
      <c r="U47" s="3"/>
      <c r="V47" s="3"/>
      <c r="W47" s="3"/>
    </row>
    <row r="48" spans="1:29" ht="15.75" customHeight="1" x14ac:dyDescent="0.2">
      <c r="A48" s="52" t="s">
        <v>9</v>
      </c>
      <c r="B48" s="150">
        <f>SUM(C37:C47)</f>
        <v>46</v>
      </c>
      <c r="C48" s="149"/>
      <c r="D48" s="150">
        <f>SUM(E37:E47)</f>
        <v>50</v>
      </c>
      <c r="E48" s="149"/>
      <c r="F48" s="150">
        <f>SUM(G37:G47)</f>
        <v>45</v>
      </c>
      <c r="G48" s="149"/>
      <c r="H48" s="150">
        <f>SUM(I37:I47)</f>
        <v>53</v>
      </c>
      <c r="I48" s="149"/>
      <c r="J48" s="150">
        <f>SUM(K37:K47)</f>
        <v>43</v>
      </c>
      <c r="K48" s="149"/>
      <c r="L48" s="150">
        <f>SUM(M37:M47)</f>
        <v>44</v>
      </c>
      <c r="M48" s="149"/>
      <c r="N48" s="150">
        <f>SUM(O37:O47)</f>
        <v>0</v>
      </c>
      <c r="O48" s="151"/>
      <c r="P48" s="56">
        <f>SUM(P37:P47)</f>
        <v>281</v>
      </c>
      <c r="Q48" s="104"/>
      <c r="R48" s="38"/>
      <c r="S48" s="38"/>
      <c r="T48" s="38"/>
      <c r="U48" s="38"/>
      <c r="V48" s="38"/>
      <c r="W48" s="38"/>
    </row>
    <row r="49" spans="1:27" ht="28.5" customHeight="1" x14ac:dyDescent="0.2">
      <c r="A49" s="54"/>
      <c r="B49" s="156">
        <v>46223</v>
      </c>
      <c r="C49" s="149"/>
      <c r="D49" s="156">
        <v>46224</v>
      </c>
      <c r="E49" s="149"/>
      <c r="F49" s="156">
        <v>46225</v>
      </c>
      <c r="G49" s="149"/>
      <c r="H49" s="156">
        <v>46226</v>
      </c>
      <c r="I49" s="149"/>
      <c r="J49" s="156">
        <v>46227</v>
      </c>
      <c r="K49" s="149"/>
      <c r="L49" s="156">
        <v>46228</v>
      </c>
      <c r="M49" s="149"/>
      <c r="N49" s="156">
        <v>46229</v>
      </c>
      <c r="O49" s="149"/>
      <c r="P49" s="55"/>
      <c r="Q49" s="38"/>
      <c r="R49" s="3"/>
      <c r="S49" s="3"/>
      <c r="T49" s="3"/>
      <c r="U49" s="3"/>
      <c r="V49" s="3"/>
      <c r="W49" s="3"/>
    </row>
    <row r="50" spans="1:27" ht="15.75" customHeight="1" x14ac:dyDescent="0.2">
      <c r="A50" s="47" t="s">
        <v>1</v>
      </c>
      <c r="B50" s="6" t="s">
        <v>2</v>
      </c>
      <c r="C50" s="6" t="s">
        <v>3</v>
      </c>
      <c r="D50" s="6" t="s">
        <v>2</v>
      </c>
      <c r="E50" s="6" t="s">
        <v>3</v>
      </c>
      <c r="F50" s="6" t="s">
        <v>2</v>
      </c>
      <c r="G50" s="6" t="s">
        <v>3</v>
      </c>
      <c r="H50" s="6" t="s">
        <v>2</v>
      </c>
      <c r="I50" s="6" t="s">
        <v>3</v>
      </c>
      <c r="J50" s="6" t="s">
        <v>2</v>
      </c>
      <c r="K50" s="6" t="s">
        <v>3</v>
      </c>
      <c r="L50" s="6" t="s">
        <v>2</v>
      </c>
      <c r="M50" s="6" t="s">
        <v>3</v>
      </c>
      <c r="N50" s="6" t="s">
        <v>2</v>
      </c>
      <c r="O50" s="7" t="s">
        <v>3</v>
      </c>
      <c r="P50" s="48" t="s">
        <v>5</v>
      </c>
      <c r="Q50" s="38"/>
      <c r="R50" s="3"/>
      <c r="S50" s="3"/>
      <c r="T50" s="3"/>
      <c r="U50" s="3"/>
      <c r="V50" s="3"/>
      <c r="W50" s="3"/>
    </row>
    <row r="51" spans="1:27" ht="15.75" customHeight="1" x14ac:dyDescent="0.2">
      <c r="A51" s="49" t="str">
        <f t="shared" ref="A51:A58" si="7">A37</f>
        <v>P1</v>
      </c>
      <c r="B51" s="105" t="s">
        <v>38</v>
      </c>
      <c r="C51" s="111" cm="1">
        <f t="array" ref="C51">IF(B51="u",
8,
  IF(AND(ISNUMBER(--_xlfn.REGEXEXTRACT(B51,"^\d+")),
      ISNUMBER(--_xlfn.REGEXEXTRACT(B51,"\d+$"))),--_xlfn.REGEXEXTRACT(B51,"\d+$")---_xlfn.REGEXEXTRACT(B51,"^\d+"),
    ""))</f>
        <v>10</v>
      </c>
      <c r="D51" s="105" t="s">
        <v>39</v>
      </c>
      <c r="E51" s="111" cm="1">
        <f t="array" ref="E51">IF(D51="u",
8,
  IF(AND(ISNUMBER(--_xlfn.REGEXEXTRACT(D51,"^\d+")),
      ISNUMBER(--_xlfn.REGEXEXTRACT(D51,"\d+$"))),--_xlfn.REGEXEXTRACT(D51,"\d+$")---_xlfn.REGEXEXTRACT(D51,"^\d+"),
    ""))</f>
        <v>8</v>
      </c>
      <c r="F51" s="105" t="s">
        <v>13</v>
      </c>
      <c r="G51" s="111" cm="1">
        <f t="array" ref="G51">IF(F51="u",
8,
  IF(AND(ISNUMBER(--_xlfn.REGEXEXTRACT(F51,"^\d+")),
      ISNUMBER(--_xlfn.REGEXEXTRACT(F51,"\d+$"))),--_xlfn.REGEXEXTRACT(F51,"\d+$")---_xlfn.REGEXEXTRACT(F51,"^\d+"),
    ""))</f>
        <v>8</v>
      </c>
      <c r="H51" s="105" t="s">
        <v>28</v>
      </c>
      <c r="I51" s="111" cm="1">
        <f t="array" ref="I51">IF(H51="u",
8,
  IF(AND(ISNUMBER(--_xlfn.REGEXEXTRACT(H51,"^\d+")),
      ISNUMBER(--_xlfn.REGEXEXTRACT(H51,"\d+$"))),--_xlfn.REGEXEXTRACT(H51,"\d+$")---_xlfn.REGEXEXTRACT(H51,"^\d+"),
    ""))</f>
        <v>8</v>
      </c>
      <c r="J51" s="105" t="s">
        <v>12</v>
      </c>
      <c r="K51" s="111" cm="1">
        <f t="array" ref="K51">IF(J51="u",
8,
  IF(AND(ISNUMBER(--_xlfn.REGEXEXTRACT(J51,"^\d+")),
      ISNUMBER(--_xlfn.REGEXEXTRACT(J51,"\d+$"))),--_xlfn.REGEXEXTRACT(J51,"\d+$")---_xlfn.REGEXEXTRACT(J51,"^\d+"),
    ""))</f>
        <v>8</v>
      </c>
      <c r="L51" s="107" t="s">
        <v>26</v>
      </c>
      <c r="M51" s="111" t="str" cm="1">
        <f t="array" ref="M51">IF(L51="u",
8,
  IF(AND(ISNUMBER(--_xlfn.REGEXEXTRACT(L51,"^\d+")),
      ISNUMBER(--_xlfn.REGEXEXTRACT(L51,"\d+$"))),--_xlfn.REGEXEXTRACT(L51,"\d+$")---_xlfn.REGEXEXTRACT(L51,"^\d+"),
    ""))</f>
        <v/>
      </c>
      <c r="N51" s="69"/>
      <c r="O51" s="111" t="str" cm="1">
        <f t="array" ref="O51">IF(N51="u",
8,
  IF(AND(ISNUMBER(--_xlfn.REGEXEXTRACT(N51,"^\d+")),
      ISNUMBER(--_xlfn.REGEXEXTRACT(N51,"\d+$"))),--_xlfn.REGEXEXTRACT(N51,"\d+$")---_xlfn.REGEXEXTRACT(N51,"^\d+"),
    ""))</f>
        <v/>
      </c>
      <c r="P51" s="50">
        <f t="shared" ref="P51:P61" si="8">SUM(O51,M51,K51,I51,G51,E51,C51)</f>
        <v>42</v>
      </c>
      <c r="Q51" s="104"/>
      <c r="R51" s="3"/>
      <c r="S51" s="3"/>
      <c r="T51" s="3"/>
      <c r="U51" s="3"/>
      <c r="V51" s="3"/>
      <c r="W51" s="3"/>
    </row>
    <row r="52" spans="1:27" ht="15.75" customHeight="1" x14ac:dyDescent="0.2">
      <c r="A52" s="49" t="str">
        <f t="shared" si="7"/>
        <v>P2</v>
      </c>
      <c r="B52" s="105" t="s">
        <v>12</v>
      </c>
      <c r="C52" s="111" cm="1">
        <f t="array" ref="C52">IF(B52="u",
8,
  IF(AND(ISNUMBER(--_xlfn.REGEXEXTRACT(B52,"^\d+")),
      ISNUMBER(--_xlfn.REGEXEXTRACT(B52,"\d+$"))),--_xlfn.REGEXEXTRACT(B52,"\d+$")---_xlfn.REGEXEXTRACT(B52,"^\d+"),
    ""))</f>
        <v>8</v>
      </c>
      <c r="D52" s="105" t="s">
        <v>24</v>
      </c>
      <c r="E52" s="111" cm="1">
        <f t="array" ref="E52">IF(D52="u",
8,
  IF(AND(ISNUMBER(--_xlfn.REGEXEXTRACT(D52,"^\d+")),
      ISNUMBER(--_xlfn.REGEXEXTRACT(D52,"\d+$"))),--_xlfn.REGEXEXTRACT(D52,"\d+$")---_xlfn.REGEXEXTRACT(D52,"^\d+"),
    ""))</f>
        <v>8</v>
      </c>
      <c r="F52" s="105" t="s">
        <v>12</v>
      </c>
      <c r="G52" s="111" cm="1">
        <f t="array" ref="G52">IF(F52="u",
8,
  IF(AND(ISNUMBER(--_xlfn.REGEXEXTRACT(F52,"^\d+")),
      ISNUMBER(--_xlfn.REGEXEXTRACT(F52,"\d+$"))),--_xlfn.REGEXEXTRACT(F52,"\d+$")---_xlfn.REGEXEXTRACT(F52,"^\d+"),
    ""))</f>
        <v>8</v>
      </c>
      <c r="H52" s="105" t="s">
        <v>26</v>
      </c>
      <c r="I52" s="111" t="str" cm="1">
        <f t="array" ref="I52">IF(H52="u",
8,
  IF(AND(ISNUMBER(--_xlfn.REGEXEXTRACT(H52,"^\d+")),
      ISNUMBER(--_xlfn.REGEXEXTRACT(H52,"\d+$"))),--_xlfn.REGEXEXTRACT(H52,"\d+$")---_xlfn.REGEXEXTRACT(H52,"^\d+"),
    ""))</f>
        <v/>
      </c>
      <c r="J52" s="105" t="s">
        <v>14</v>
      </c>
      <c r="K52" s="111" cm="1">
        <f t="array" ref="K52">IF(J52="u",
8,
  IF(AND(ISNUMBER(--_xlfn.REGEXEXTRACT(J52,"^\d+")),
      ISNUMBER(--_xlfn.REGEXEXTRACT(J52,"\d+$"))),--_xlfn.REGEXEXTRACT(J52,"\d+$")---_xlfn.REGEXEXTRACT(J52,"^\d+"),
    ""))</f>
        <v>8</v>
      </c>
      <c r="L52" s="107" t="s">
        <v>28</v>
      </c>
      <c r="M52" s="111" cm="1">
        <f t="array" ref="M52">IF(L52="u",
8,
  IF(AND(ISNUMBER(--_xlfn.REGEXEXTRACT(L52,"^\d+")),
      ISNUMBER(--_xlfn.REGEXEXTRACT(L52,"\d+$"))),--_xlfn.REGEXEXTRACT(L52,"\d+$")---_xlfn.REGEXEXTRACT(L52,"^\d+"),
    ""))</f>
        <v>8</v>
      </c>
      <c r="N52" s="69"/>
      <c r="O52" s="111" t="str" cm="1">
        <f t="array" ref="O52">IF(N52="u",
8,
  IF(AND(ISNUMBER(--_xlfn.REGEXEXTRACT(N52,"^\d+")),
      ISNUMBER(--_xlfn.REGEXEXTRACT(N52,"\d+$"))),--_xlfn.REGEXEXTRACT(N52,"\d+$")---_xlfn.REGEXEXTRACT(N52,"^\d+"),
    ""))</f>
        <v/>
      </c>
      <c r="P52" s="50">
        <f t="shared" si="8"/>
        <v>40</v>
      </c>
      <c r="Q52" s="38"/>
      <c r="R52" s="3"/>
      <c r="S52" s="3"/>
      <c r="T52" s="3"/>
      <c r="U52" s="3"/>
      <c r="V52" s="3"/>
      <c r="W52" s="3"/>
    </row>
    <row r="53" spans="1:27" ht="15.75" customHeight="1" x14ac:dyDescent="0.2">
      <c r="A53" s="49" t="str">
        <f t="shared" si="7"/>
        <v>P3</v>
      </c>
      <c r="B53" s="105" t="s">
        <v>37</v>
      </c>
      <c r="C53" s="111" cm="1">
        <f t="array" ref="C53">IF(B53="u",
  4,
  IF(AND(ISNUMBER(--_xlfn.REGEXEXTRACT(B53,"^\d+")),
      ISNUMBER(--_xlfn.REGEXEXTRACT(B53,"\d+$"))),--_xlfn.REGEXEXTRACT(B53,"\d+$")---_xlfn.REGEXEXTRACT(B53,"^\d+"),
    ""))</f>
        <v>7</v>
      </c>
      <c r="D53" s="106" t="s">
        <v>24</v>
      </c>
      <c r="E53" s="111" cm="1">
        <f t="array" ref="E53">IF(D53="u",
  4,
  IF(AND(ISNUMBER(--_xlfn.REGEXEXTRACT(D53,"^\d+")),
      ISNUMBER(--_xlfn.REGEXEXTRACT(D53,"\d+$"))),--_xlfn.REGEXEXTRACT(D53,"\d+$")---_xlfn.REGEXEXTRACT(D53,"^\d+"),
    ""))</f>
        <v>8</v>
      </c>
      <c r="F53" s="106" t="s">
        <v>26</v>
      </c>
      <c r="G53" s="111" t="str" cm="1">
        <f t="array" ref="G53">IF(F53="u",
  4,
  IF(AND(ISNUMBER(--_xlfn.REGEXEXTRACT(F53,"^\d+")),
      ISNUMBER(--_xlfn.REGEXEXTRACT(F53,"\d+$"))),--_xlfn.REGEXEXTRACT(F53,"\d+$")---_xlfn.REGEXEXTRACT(F53,"^\d+"),
    ""))</f>
        <v/>
      </c>
      <c r="H53" s="106" t="s">
        <v>42</v>
      </c>
      <c r="I53" s="111" cm="1">
        <f t="array" ref="I53">IF(H53="u",
  4,
  IF(AND(ISNUMBER(--_xlfn.REGEXEXTRACT(H53,"^\d+")),
      ISNUMBER(--_xlfn.REGEXEXTRACT(H53,"\d+$"))),--_xlfn.REGEXEXTRACT(H53,"\d+$")---_xlfn.REGEXEXTRACT(H53,"^\d+"),
    ""))</f>
        <v>6</v>
      </c>
      <c r="J53" s="106" t="s">
        <v>16</v>
      </c>
      <c r="K53" s="111" cm="1">
        <f t="array" ref="K53">IF(J53="u",
  4,
  IF(AND(ISNUMBER(--_xlfn.REGEXEXTRACT(J53,"^\d+")),
      ISNUMBER(--_xlfn.REGEXEXTRACT(J53,"\d+$"))),--_xlfn.REGEXEXTRACT(J53,"\d+$")---_xlfn.REGEXEXTRACT(J53,"^\d+"),
    ""))</f>
        <v>6</v>
      </c>
      <c r="L53" s="108" t="s">
        <v>14</v>
      </c>
      <c r="M53" s="111" cm="1">
        <f t="array" ref="M53">IF(L53="u",
  4,
  IF(AND(ISNUMBER(--_xlfn.REGEXEXTRACT(L53,"^\d+")),
      ISNUMBER(--_xlfn.REGEXEXTRACT(L53,"\d+$"))),--_xlfn.REGEXEXTRACT(L53,"\d+$")---_xlfn.REGEXEXTRACT(L53,"^\d+"),
    ""))</f>
        <v>8</v>
      </c>
      <c r="N53" s="130"/>
      <c r="O53" s="111" t="str" cm="1">
        <f t="array" ref="O53">IF(N53="u",
  4,
  IF(AND(ISNUMBER(--_xlfn.REGEXEXTRACT(N53,"^\d+")),
      ISNUMBER(--_xlfn.REGEXEXTRACT(N53,"\d+$"))),--_xlfn.REGEXEXTRACT(N53,"\d+$")---_xlfn.REGEXEXTRACT(N53,"^\d+"),
    ""))</f>
        <v/>
      </c>
      <c r="P53" s="50">
        <f t="shared" si="8"/>
        <v>35</v>
      </c>
      <c r="Q53" s="38"/>
      <c r="R53" s="3"/>
      <c r="S53" s="3"/>
      <c r="T53" s="3"/>
      <c r="U53" s="3"/>
      <c r="V53" s="3"/>
      <c r="W53" s="3"/>
    </row>
    <row r="54" spans="1:27" ht="15.75" customHeight="1" x14ac:dyDescent="0.2">
      <c r="A54" s="49" t="str">
        <f t="shared" si="7"/>
        <v>P4</v>
      </c>
      <c r="B54" s="105" t="s">
        <v>16</v>
      </c>
      <c r="C54" s="111" cm="1">
        <f t="array" ref="C54">IF(B54="u",
8,
  IF(AND(ISNUMBER(--_xlfn.REGEXEXTRACT(B54,"^\d+")),
      ISNUMBER(--_xlfn.REGEXEXTRACT(B54,"\d+$"))),--_xlfn.REGEXEXTRACT(B54,"\d+$")---_xlfn.REGEXEXTRACT(B54,"^\d+"),
    ""))</f>
        <v>6</v>
      </c>
      <c r="D54" s="105" t="s">
        <v>16</v>
      </c>
      <c r="E54" s="111" cm="1">
        <f t="array" ref="E54">IF(D54="u",
8,
  IF(AND(ISNUMBER(--_xlfn.REGEXEXTRACT(D54,"^\d+")),
      ISNUMBER(--_xlfn.REGEXEXTRACT(D54,"\d+$"))),--_xlfn.REGEXEXTRACT(D54,"\d+$")---_xlfn.REGEXEXTRACT(D54,"^\d+"),
    ""))</f>
        <v>6</v>
      </c>
      <c r="F54" s="105" t="s">
        <v>15</v>
      </c>
      <c r="G54" s="111" cm="1">
        <f t="array" ref="G54">IF(F54="u",
8,
  IF(AND(ISNUMBER(--_xlfn.REGEXEXTRACT(F54,"^\d+")),
      ISNUMBER(--_xlfn.REGEXEXTRACT(F54,"\d+$"))),--_xlfn.REGEXEXTRACT(F54,"\d+$")---_xlfn.REGEXEXTRACT(F54,"^\d+"),
    ""))</f>
        <v>8</v>
      </c>
      <c r="H54" s="105" t="s">
        <v>13</v>
      </c>
      <c r="I54" s="111" cm="1">
        <f t="array" ref="I54">IF(H54="u",
8,
  IF(AND(ISNUMBER(--_xlfn.REGEXEXTRACT(H54,"^\d+")),
      ISNUMBER(--_xlfn.REGEXEXTRACT(H54,"\d+$"))),--_xlfn.REGEXEXTRACT(H54,"\d+$")---_xlfn.REGEXEXTRACT(H54,"^\d+"),
    ""))</f>
        <v>8</v>
      </c>
      <c r="J54" s="105" t="s">
        <v>26</v>
      </c>
      <c r="K54" s="111" t="str" cm="1">
        <f t="array" ref="K54">IF(J54="u",
8,
  IF(AND(ISNUMBER(--_xlfn.REGEXEXTRACT(J54,"^\d+")),
      ISNUMBER(--_xlfn.REGEXEXTRACT(J54,"\d+$"))),--_xlfn.REGEXEXTRACT(J54,"\d+$")---_xlfn.REGEXEXTRACT(J54,"^\d+"),
    ""))</f>
        <v/>
      </c>
      <c r="L54" s="140" t="s">
        <v>52</v>
      </c>
      <c r="M54" s="111">
        <v>8</v>
      </c>
      <c r="N54" s="69"/>
      <c r="O54" s="111" t="str" cm="1">
        <f t="array" ref="O54">IF(N54="u",
8,
  IF(AND(ISNUMBER(--_xlfn.REGEXEXTRACT(N54,"^\d+")),
      ISNUMBER(--_xlfn.REGEXEXTRACT(N54,"\d+$"))),--_xlfn.REGEXEXTRACT(N54,"\d+$")---_xlfn.REGEXEXTRACT(N54,"^\d+"),
    ""))</f>
        <v/>
      </c>
      <c r="P54" s="50">
        <f t="shared" si="8"/>
        <v>36</v>
      </c>
      <c r="Q54" s="38"/>
      <c r="R54" s="3"/>
      <c r="S54" s="3"/>
      <c r="T54" s="3"/>
      <c r="U54" s="3"/>
      <c r="V54" s="3"/>
      <c r="W54" s="3"/>
    </row>
    <row r="55" spans="1:27" ht="15.75" customHeight="1" x14ac:dyDescent="0.2">
      <c r="A55" s="49" t="str">
        <f t="shared" si="7"/>
        <v>P5</v>
      </c>
      <c r="B55" s="133" t="s">
        <v>33</v>
      </c>
      <c r="C55" s="134" cm="1">
        <f t="array" ref="C55">IF(B55="u",
8,
  IF(AND(ISNUMBER(--_xlfn.REGEXEXTRACT(B55,"^\d+")),
      ISNUMBER(--_xlfn.REGEXEXTRACT(B55,"\d+$"))),--_xlfn.REGEXEXTRACT(B55,"\d+$")---_xlfn.REGEXEXTRACT(B55,"^\d+"),
    ""))</f>
        <v>8</v>
      </c>
      <c r="D55" s="133" t="s">
        <v>33</v>
      </c>
      <c r="E55" s="134" cm="1">
        <f t="array" ref="E55">IF(D55="u",
8,
  IF(AND(ISNUMBER(--_xlfn.REGEXEXTRACT(D55,"^\d+")),
      ISNUMBER(--_xlfn.REGEXEXTRACT(D55,"\d+$"))),--_xlfn.REGEXEXTRACT(D55,"\d+$")---_xlfn.REGEXEXTRACT(D55,"^\d+"),
    ""))</f>
        <v>8</v>
      </c>
      <c r="F55" s="133" t="s">
        <v>33</v>
      </c>
      <c r="G55" s="134" cm="1">
        <f t="array" ref="G55">IF(F55="u",
8,
  IF(AND(ISNUMBER(--_xlfn.REGEXEXTRACT(F55,"^\d+")),
      ISNUMBER(--_xlfn.REGEXEXTRACT(F55,"\d+$"))),--_xlfn.REGEXEXTRACT(F55,"\d+$")---_xlfn.REGEXEXTRACT(F55,"^\d+"),
    ""))</f>
        <v>8</v>
      </c>
      <c r="H55" s="133" t="s">
        <v>33</v>
      </c>
      <c r="I55" s="134" cm="1">
        <f t="array" ref="I55">IF(H55="u",
8,
  IF(AND(ISNUMBER(--_xlfn.REGEXEXTRACT(H55,"^\d+")),
      ISNUMBER(--_xlfn.REGEXEXTRACT(H55,"\d+$"))),--_xlfn.REGEXEXTRACT(H55,"\d+$")---_xlfn.REGEXEXTRACT(H55,"^\d+"),
    ""))</f>
        <v>8</v>
      </c>
      <c r="J55" s="133" t="s">
        <v>33</v>
      </c>
      <c r="K55" s="134" cm="1">
        <f t="array" ref="K55">IF(J55="u",
8,
  IF(AND(ISNUMBER(--_xlfn.REGEXEXTRACT(J55,"^\d+")),
      ISNUMBER(--_xlfn.REGEXEXTRACT(J55,"\d+$"))),--_xlfn.REGEXEXTRACT(J55,"\d+$")---_xlfn.REGEXEXTRACT(J55,"^\d+"),
    ""))</f>
        <v>8</v>
      </c>
      <c r="L55" s="107" t="s">
        <v>26</v>
      </c>
      <c r="M55" s="111" t="str" cm="1">
        <f t="array" ref="M55">IF(L55="u",
8,
  IF(AND(ISNUMBER(--_xlfn.REGEXEXTRACT(L55,"^\d+")),
      ISNUMBER(--_xlfn.REGEXEXTRACT(L55,"\d+$"))),--_xlfn.REGEXEXTRACT(L55,"\d+$")---_xlfn.REGEXEXTRACT(L55,"^\d+"),
    ""))</f>
        <v/>
      </c>
      <c r="N55" s="69"/>
      <c r="O55" s="111" t="str" cm="1">
        <f t="array" ref="O55">IF(N55="u",
8,
  IF(AND(ISNUMBER(--_xlfn.REGEXEXTRACT(N55,"^\d+")),
      ISNUMBER(--_xlfn.REGEXEXTRACT(N55,"\d+$"))),--_xlfn.REGEXEXTRACT(N55,"\d+$")---_xlfn.REGEXEXTRACT(N55,"^\d+"),
    ""))</f>
        <v/>
      </c>
      <c r="P55" s="50">
        <f t="shared" si="8"/>
        <v>40</v>
      </c>
      <c r="Q55" s="38"/>
      <c r="R55" s="3"/>
      <c r="S55" s="3"/>
      <c r="T55" s="3"/>
      <c r="U55" s="3"/>
      <c r="V55" s="3"/>
      <c r="W55" s="3"/>
    </row>
    <row r="56" spans="1:27" ht="15.75" customHeight="1" x14ac:dyDescent="0.2">
      <c r="A56" s="49" t="str">
        <f t="shared" si="7"/>
        <v>P6</v>
      </c>
      <c r="B56" s="105" t="s">
        <v>16</v>
      </c>
      <c r="C56" s="111" cm="1">
        <f t="array" ref="C56">IF(B56="u",
6,
  IF(AND(ISNUMBER(--_xlfn.REGEXEXTRACT(B56,"^\d+")),
      ISNUMBER(--_xlfn.REGEXEXTRACT(B56,"\d+$"))),--_xlfn.REGEXEXTRACT(B56,"\d+$")---_xlfn.REGEXEXTRACT(B56,"^\d+"),
    ""))</f>
        <v>6</v>
      </c>
      <c r="D56" s="105" t="s">
        <v>13</v>
      </c>
      <c r="E56" s="111" cm="1">
        <f t="array" ref="E56">IF(D56="u",
6,
  IF(AND(ISNUMBER(--_xlfn.REGEXEXTRACT(D56,"^\d+")),
      ISNUMBER(--_xlfn.REGEXEXTRACT(D56,"\d+$"))),--_xlfn.REGEXEXTRACT(D56,"\d+$")---_xlfn.REGEXEXTRACT(D56,"^\d+"),
    ""))</f>
        <v>8</v>
      </c>
      <c r="F56" s="105" t="s">
        <v>13</v>
      </c>
      <c r="G56" s="111" cm="1">
        <f t="array" ref="G56">IF(F56="u",
6,
  IF(AND(ISNUMBER(--_xlfn.REGEXEXTRACT(F56,"^\d+")),
      ISNUMBER(--_xlfn.REGEXEXTRACT(F56,"\d+$"))),--_xlfn.REGEXEXTRACT(F56,"\d+$")---_xlfn.REGEXEXTRACT(F56,"^\d+"),
    ""))</f>
        <v>8</v>
      </c>
      <c r="H56" s="105" t="s">
        <v>15</v>
      </c>
      <c r="I56" s="111" cm="1">
        <f t="array" ref="I56">IF(H56="u",
6,
  IF(AND(ISNUMBER(--_xlfn.REGEXEXTRACT(H56,"^\d+")),
      ISNUMBER(--_xlfn.REGEXEXTRACT(H56,"\d+$"))),--_xlfn.REGEXEXTRACT(H56,"\d+$")---_xlfn.REGEXEXTRACT(H56,"^\d+"),
    ""))</f>
        <v>8</v>
      </c>
      <c r="J56" s="105" t="s">
        <v>51</v>
      </c>
      <c r="K56" s="111" cm="1">
        <f t="array" ref="K56">IF(J56="u",
6,
  IF(AND(ISNUMBER(--_xlfn.REGEXEXTRACT(J56,"^\d+")),
      ISNUMBER(--_xlfn.REGEXEXTRACT(J56,"\d+$"))),--_xlfn.REGEXEXTRACT(J56,"\d+$")---_xlfn.REGEXEXTRACT(J56,"^\d+"),
    ""))</f>
        <v>7</v>
      </c>
      <c r="L56" s="107" t="s">
        <v>53</v>
      </c>
      <c r="M56" s="111" cm="1">
        <f t="array" ref="M56">IF(L56="u",
6,
  IF(AND(ISNUMBER(--_xlfn.REGEXEXTRACT(L56,"^\d+")),
      ISNUMBER(--_xlfn.REGEXEXTRACT(L56,"\d+$"))),--_xlfn.REGEXEXTRACT(L56,"\d+$")---_xlfn.REGEXEXTRACT(L56,"^\d+"),
    ""))</f>
        <v>9</v>
      </c>
      <c r="N56" s="69"/>
      <c r="O56" s="111" t="str" cm="1">
        <f t="array" ref="O56">IF(N56="u",
6,
  IF(AND(ISNUMBER(--_xlfn.REGEXEXTRACT(N56,"^\d+")),
      ISNUMBER(--_xlfn.REGEXEXTRACT(N56,"\d+$"))),--_xlfn.REGEXEXTRACT(N56,"\d+$")---_xlfn.REGEXEXTRACT(N56,"^\d+"),
    ""))</f>
        <v/>
      </c>
      <c r="P56" s="50">
        <f t="shared" si="8"/>
        <v>46</v>
      </c>
      <c r="Q56" s="38"/>
      <c r="R56" s="3"/>
      <c r="S56" s="3"/>
      <c r="T56" s="3"/>
      <c r="U56" s="3"/>
      <c r="V56" s="3"/>
      <c r="W56" s="3"/>
    </row>
    <row r="57" spans="1:27" ht="15.75" customHeight="1" x14ac:dyDescent="0.2">
      <c r="A57" s="49" t="str">
        <f t="shared" si="7"/>
        <v>P7</v>
      </c>
      <c r="B57" s="105" t="s">
        <v>26</v>
      </c>
      <c r="C57" s="111" t="str" cm="1">
        <f t="array" ref="C57">IF(B57="u",
4,
  IF(AND(ISNUMBER(--_xlfn.REGEXEXTRACT(B57,"^\d+")),
      ISNUMBER(--_xlfn.REGEXEXTRACT(B57,"\d+$"))),--_xlfn.REGEXEXTRACT(B57,"\d+$")---_xlfn.REGEXEXTRACT(B57,"^\d+"),
    ""))</f>
        <v/>
      </c>
      <c r="D57" s="105" t="s">
        <v>26</v>
      </c>
      <c r="E57" s="111" t="str" cm="1">
        <f t="array" ref="E57">IF(D57="u",
4,
  IF(AND(ISNUMBER(--_xlfn.REGEXEXTRACT(D57,"^\d+")),
      ISNUMBER(--_xlfn.REGEXEXTRACT(D57,"\d+$"))),--_xlfn.REGEXEXTRACT(D57,"\d+$")---_xlfn.REGEXEXTRACT(D57,"^\d+"),
    ""))</f>
        <v/>
      </c>
      <c r="F57" s="105" t="s">
        <v>26</v>
      </c>
      <c r="G57" s="111" t="str" cm="1">
        <f t="array" ref="G57">IF(F57="u",
4,
  IF(AND(ISNUMBER(--_xlfn.REGEXEXTRACT(F57,"^\d+")),
      ISNUMBER(--_xlfn.REGEXEXTRACT(F57,"\d+$"))),--_xlfn.REGEXEXTRACT(F57,"\d+$")---_xlfn.REGEXEXTRACT(F57,"^\d+"),
    ""))</f>
        <v/>
      </c>
      <c r="H57" s="105" t="s">
        <v>50</v>
      </c>
      <c r="I57" s="111" cm="1">
        <f t="array" ref="I57">IF(H57="u",
4,
  IF(AND(ISNUMBER(--_xlfn.REGEXEXTRACT(H57,"^\d+")),
      ISNUMBER(--_xlfn.REGEXEXTRACT(H57,"\d+$"))),--_xlfn.REGEXEXTRACT(H57,"\d+$")---_xlfn.REGEXEXTRACT(H57,"^\d+"),
    ""))</f>
        <v>5</v>
      </c>
      <c r="J57" s="105" t="s">
        <v>16</v>
      </c>
      <c r="K57" s="111" cm="1">
        <f t="array" ref="K57">IF(J57="u",
4,
  IF(AND(ISNUMBER(--_xlfn.REGEXEXTRACT(J57,"^\d+")),
      ISNUMBER(--_xlfn.REGEXEXTRACT(J57,"\d+$"))),--_xlfn.REGEXEXTRACT(J57,"\d+$")---_xlfn.REGEXEXTRACT(J57,"^\d+"),
    ""))</f>
        <v>6</v>
      </c>
      <c r="L57" s="107" t="s">
        <v>16</v>
      </c>
      <c r="M57" s="111" cm="1">
        <f t="array" ref="M57">IF(L57="u",
4,
  IF(AND(ISNUMBER(--_xlfn.REGEXEXTRACT(L57,"^\d+")),
      ISNUMBER(--_xlfn.REGEXEXTRACT(L57,"\d+$"))),--_xlfn.REGEXEXTRACT(L57,"\d+$")---_xlfn.REGEXEXTRACT(L57,"^\d+"),
    ""))</f>
        <v>6</v>
      </c>
      <c r="N57" s="69"/>
      <c r="O57" s="111" t="str" cm="1">
        <f t="array" ref="O57">IF(N57="u",
4,
  IF(AND(ISNUMBER(--_xlfn.REGEXEXTRACT(N57,"^\d+")),
      ISNUMBER(--_xlfn.REGEXEXTRACT(N57,"\d+$"))),--_xlfn.REGEXEXTRACT(N57,"\d+$")---_xlfn.REGEXEXTRACT(N57,"^\d+"),
    ""))</f>
        <v/>
      </c>
      <c r="P57" s="50">
        <f t="shared" si="8"/>
        <v>17</v>
      </c>
      <c r="Q57" s="38"/>
      <c r="R57" s="3"/>
      <c r="S57" s="3"/>
      <c r="T57" s="3"/>
      <c r="U57" s="3"/>
      <c r="V57" s="3"/>
      <c r="W57" s="3"/>
    </row>
    <row r="58" spans="1:27" ht="15.75" customHeight="1" x14ac:dyDescent="0.2">
      <c r="A58" s="49" t="str">
        <f t="shared" si="7"/>
        <v>P8</v>
      </c>
      <c r="B58" s="133" t="s">
        <v>33</v>
      </c>
      <c r="C58" s="134" cm="1">
        <f t="array" ref="C58">IF(B58="u",
4,
  IF(AND(ISNUMBER(--_xlfn.REGEXEXTRACT(B58,"^\d+")),
      ISNUMBER(--_xlfn.REGEXEXTRACT(B58,"\d+$"))),--_xlfn.REGEXEXTRACT(B58,"\d+$")---_xlfn.REGEXEXTRACT(B58,"^\d+"),
    ""))</f>
        <v>4</v>
      </c>
      <c r="D58" s="133" t="s">
        <v>33</v>
      </c>
      <c r="E58" s="134" cm="1">
        <f t="array" ref="E58">IF(D58="u",
4,
  IF(AND(ISNUMBER(--_xlfn.REGEXEXTRACT(D58,"^\d+")),
      ISNUMBER(--_xlfn.REGEXEXTRACT(D58,"\d+$"))),--_xlfn.REGEXEXTRACT(D58,"\d+$")---_xlfn.REGEXEXTRACT(D58,"^\d+"),
    ""))</f>
        <v>4</v>
      </c>
      <c r="F58" s="133" t="s">
        <v>33</v>
      </c>
      <c r="G58" s="134" cm="1">
        <f t="array" ref="G58">IF(F58="u",
4,
  IF(AND(ISNUMBER(--_xlfn.REGEXEXTRACT(F58,"^\d+")),
      ISNUMBER(--_xlfn.REGEXEXTRACT(F58,"\d+$"))),--_xlfn.REGEXEXTRACT(F58,"\d+$")---_xlfn.REGEXEXTRACT(F58,"^\d+"),
    ""))</f>
        <v>4</v>
      </c>
      <c r="H58" s="133" t="s">
        <v>33</v>
      </c>
      <c r="I58" s="134" cm="1">
        <f t="array" ref="I58">IF(H58="u",
4,
  IF(AND(ISNUMBER(--_xlfn.REGEXEXTRACT(H58,"^\d+")),
      ISNUMBER(--_xlfn.REGEXEXTRACT(H58,"\d+$"))),--_xlfn.REGEXEXTRACT(H58,"\d+$")---_xlfn.REGEXEXTRACT(H58,"^\d+"),
    ""))</f>
        <v>4</v>
      </c>
      <c r="J58" s="133" t="s">
        <v>33</v>
      </c>
      <c r="K58" s="134" cm="1">
        <f t="array" ref="K58">IF(J58="u",
4,
  IF(AND(ISNUMBER(--_xlfn.REGEXEXTRACT(J58,"^\d+")),
      ISNUMBER(--_xlfn.REGEXEXTRACT(J58,"\d+$"))),--_xlfn.REGEXEXTRACT(J58,"\d+$")---_xlfn.REGEXEXTRACT(J58,"^\d+"),
    ""))</f>
        <v>4</v>
      </c>
      <c r="L58" s="107" t="s">
        <v>26</v>
      </c>
      <c r="M58" s="111" t="str" cm="1">
        <f t="array" ref="M58">IF(L58="u",
4,
  IF(AND(ISNUMBER(--_xlfn.REGEXEXTRACT(L58,"^\d+")),
      ISNUMBER(--_xlfn.REGEXEXTRACT(L58,"\d+$"))),--_xlfn.REGEXEXTRACT(L58,"\d+$")---_xlfn.REGEXEXTRACT(L58,"^\d+"),
    ""))</f>
        <v/>
      </c>
      <c r="N58" s="69"/>
      <c r="O58" s="111" t="str" cm="1">
        <f t="array" ref="O58">IF(N58="u",
4,
  IF(AND(ISNUMBER(--_xlfn.REGEXEXTRACT(N58,"^\d+")),
      ISNUMBER(--_xlfn.REGEXEXTRACT(N58,"\d+$"))),--_xlfn.REGEXEXTRACT(N58,"\d+$")---_xlfn.REGEXEXTRACT(N58,"^\d+"),
    ""))</f>
        <v/>
      </c>
      <c r="P58" s="50">
        <f t="shared" si="8"/>
        <v>20</v>
      </c>
      <c r="Q58" s="38"/>
      <c r="R58" s="3"/>
      <c r="S58" s="3"/>
      <c r="T58" s="3"/>
      <c r="U58" s="3"/>
      <c r="V58" s="3"/>
      <c r="W58" s="3"/>
    </row>
    <row r="59" spans="1:27" ht="15.75" customHeight="1" x14ac:dyDescent="0.2">
      <c r="A59" s="87"/>
      <c r="B59" s="74"/>
      <c r="C59" s="72"/>
      <c r="D59" s="74"/>
      <c r="E59" s="72"/>
      <c r="F59" s="74"/>
      <c r="G59" s="75"/>
      <c r="H59" s="74"/>
      <c r="I59" s="76"/>
      <c r="J59" s="74"/>
      <c r="K59" s="76"/>
      <c r="L59" s="74"/>
      <c r="M59" s="76"/>
      <c r="N59" s="74"/>
      <c r="O59" s="90"/>
      <c r="P59" s="50">
        <f t="shared" si="8"/>
        <v>0</v>
      </c>
      <c r="Q59" s="38"/>
      <c r="R59" s="3"/>
      <c r="S59" s="38"/>
      <c r="T59" s="38"/>
      <c r="U59" s="38"/>
      <c r="V59" s="38"/>
      <c r="W59" s="38"/>
    </row>
    <row r="60" spans="1:27" ht="15.75" customHeight="1" x14ac:dyDescent="0.2">
      <c r="A60" s="87"/>
      <c r="B60" s="72"/>
      <c r="C60" s="72"/>
      <c r="D60" s="73"/>
      <c r="E60" s="72"/>
      <c r="F60" s="73"/>
      <c r="G60" s="75"/>
      <c r="H60" s="73"/>
      <c r="I60" s="76"/>
      <c r="J60" s="73"/>
      <c r="K60" s="76"/>
      <c r="L60" s="73"/>
      <c r="M60" s="76"/>
      <c r="N60" s="72"/>
      <c r="O60" s="90"/>
      <c r="P60" s="50">
        <f t="shared" si="8"/>
        <v>0</v>
      </c>
      <c r="Q60" s="38"/>
      <c r="R60" s="3"/>
      <c r="S60" s="3"/>
      <c r="T60" s="3"/>
      <c r="U60" s="3"/>
      <c r="V60" s="3"/>
      <c r="W60" s="3"/>
    </row>
    <row r="61" spans="1:27" ht="15.75" customHeight="1" x14ac:dyDescent="0.2">
      <c r="A61" s="87"/>
      <c r="B61" s="72"/>
      <c r="C61" s="72"/>
      <c r="D61" s="72"/>
      <c r="E61" s="72"/>
      <c r="F61" s="72"/>
      <c r="G61" s="73"/>
      <c r="H61" s="73"/>
      <c r="I61" s="75"/>
      <c r="J61" s="91"/>
      <c r="K61" s="91"/>
      <c r="L61" s="91"/>
      <c r="M61" s="75"/>
      <c r="N61" s="72"/>
      <c r="O61" s="90"/>
      <c r="P61" s="50">
        <f t="shared" si="8"/>
        <v>0</v>
      </c>
      <c r="Q61" s="38"/>
      <c r="R61" s="3"/>
      <c r="S61" s="3"/>
      <c r="T61" s="3"/>
      <c r="U61" s="3"/>
      <c r="V61" s="3"/>
      <c r="W61" s="3"/>
    </row>
    <row r="62" spans="1:27" ht="15.75" customHeight="1" x14ac:dyDescent="0.2">
      <c r="A62" s="52" t="s">
        <v>9</v>
      </c>
      <c r="B62" s="150">
        <f>SUM(C51:C61)</f>
        <v>49</v>
      </c>
      <c r="C62" s="149"/>
      <c r="D62" s="150">
        <f>SUM(E51:E61)</f>
        <v>50</v>
      </c>
      <c r="E62" s="149"/>
      <c r="F62" s="150">
        <f>SUM(G51:G61)</f>
        <v>44</v>
      </c>
      <c r="G62" s="149"/>
      <c r="H62" s="150">
        <f>SUM(I51:I61)</f>
        <v>47</v>
      </c>
      <c r="I62" s="149"/>
      <c r="J62" s="150">
        <f>SUM(K51:K61)</f>
        <v>47</v>
      </c>
      <c r="K62" s="149"/>
      <c r="L62" s="150">
        <f>SUM(M51:M61)</f>
        <v>39</v>
      </c>
      <c r="M62" s="149"/>
      <c r="N62" s="150">
        <f>SUM(O51:O61)</f>
        <v>0</v>
      </c>
      <c r="O62" s="151"/>
      <c r="P62" s="53">
        <f>SUM(P51:P61)</f>
        <v>276</v>
      </c>
      <c r="Q62" s="38"/>
      <c r="R62" s="3"/>
      <c r="S62" s="3"/>
      <c r="T62" s="3"/>
      <c r="U62" s="3"/>
      <c r="V62" s="3"/>
      <c r="W62" s="3"/>
    </row>
    <row r="63" spans="1:27" ht="32.25" customHeight="1" x14ac:dyDescent="0.2">
      <c r="A63" s="54"/>
      <c r="B63" s="156">
        <v>46230</v>
      </c>
      <c r="C63" s="149"/>
      <c r="D63" s="156">
        <v>46231</v>
      </c>
      <c r="E63" s="149"/>
      <c r="F63" s="156">
        <v>46232</v>
      </c>
      <c r="G63" s="149"/>
      <c r="H63" s="156">
        <v>46233</v>
      </c>
      <c r="I63" s="149"/>
      <c r="J63" s="156">
        <v>46234</v>
      </c>
      <c r="K63" s="149"/>
      <c r="L63" s="156">
        <v>46235</v>
      </c>
      <c r="M63" s="149"/>
      <c r="N63" s="156">
        <v>46236</v>
      </c>
      <c r="O63" s="149"/>
      <c r="P63" s="58"/>
      <c r="Q63" s="38"/>
      <c r="R63" s="3"/>
      <c r="S63" s="3"/>
      <c r="T63" s="3"/>
      <c r="U63" s="3"/>
      <c r="V63" s="3"/>
      <c r="W63" s="3"/>
      <c r="AA63" s="20" t="s">
        <v>10</v>
      </c>
    </row>
    <row r="64" spans="1:27" ht="15.75" customHeight="1" x14ac:dyDescent="0.2">
      <c r="A64" s="47" t="s">
        <v>1</v>
      </c>
      <c r="B64" s="6" t="s">
        <v>2</v>
      </c>
      <c r="C64" s="6" t="s">
        <v>3</v>
      </c>
      <c r="D64" s="6" t="s">
        <v>2</v>
      </c>
      <c r="E64" s="6" t="s">
        <v>3</v>
      </c>
      <c r="F64" s="6" t="s">
        <v>2</v>
      </c>
      <c r="G64" s="6" t="s">
        <v>3</v>
      </c>
      <c r="H64" s="6" t="s">
        <v>2</v>
      </c>
      <c r="I64" s="6" t="s">
        <v>3</v>
      </c>
      <c r="J64" s="6" t="s">
        <v>2</v>
      </c>
      <c r="K64" s="6" t="s">
        <v>3</v>
      </c>
      <c r="L64" s="6" t="s">
        <v>2</v>
      </c>
      <c r="M64" s="6" t="s">
        <v>3</v>
      </c>
      <c r="N64" s="6" t="s">
        <v>2</v>
      </c>
      <c r="O64" s="6" t="s">
        <v>3</v>
      </c>
      <c r="P64" s="48" t="s">
        <v>5</v>
      </c>
      <c r="Q64" s="38"/>
      <c r="R64" s="3"/>
      <c r="S64" s="3"/>
      <c r="T64" s="3"/>
      <c r="U64" s="3"/>
      <c r="V64" s="3"/>
      <c r="W64" s="3"/>
    </row>
    <row r="65" spans="1:24" ht="15.75" customHeight="1" x14ac:dyDescent="0.2">
      <c r="A65" s="49" t="str">
        <f>A9</f>
        <v>P1</v>
      </c>
      <c r="B65" s="105" t="s">
        <v>26</v>
      </c>
      <c r="C65" s="111" t="str" cm="1">
        <f t="array" ref="C65">IF(B65="u",
8,
  IF(AND(ISNUMBER(--_xlfn.REGEXEXTRACT(B65,"^\d+")),
      ISNUMBER(--_xlfn.REGEXEXTRACT(B65,"\d+$"))),--_xlfn.REGEXEXTRACT(B65,"\d+$")---_xlfn.REGEXEXTRACT(B65,"^\d+"),
    ""))</f>
        <v/>
      </c>
      <c r="D65" s="105" t="s">
        <v>13</v>
      </c>
      <c r="E65" s="111">
        <v>8</v>
      </c>
      <c r="F65" s="105" t="s">
        <v>28</v>
      </c>
      <c r="G65" s="111" cm="1">
        <f t="array" ref="G65">IF(F65="u",
8,
  IF(AND(ISNUMBER(--_xlfn.REGEXEXTRACT(F65,"^\d+")),
      ISNUMBER(--_xlfn.REGEXEXTRACT(F65,"\d+$"))),--_xlfn.REGEXEXTRACT(F65,"\d+$")---_xlfn.REGEXEXTRACT(F65,"^\d+"),
    ""))</f>
        <v>8</v>
      </c>
      <c r="H65" s="105" t="s">
        <v>15</v>
      </c>
      <c r="I65" s="111" cm="1">
        <f t="array" ref="I65">IF(H65="u",
8,
  IF(AND(ISNUMBER(--_xlfn.REGEXEXTRACT(H65,"^\d+")),
      ISNUMBER(--_xlfn.REGEXEXTRACT(H65,"\d+$"))),--_xlfn.REGEXEXTRACT(H65,"\d+$")---_xlfn.REGEXEXTRACT(H65,"^\d+"),
    ""))</f>
        <v>8</v>
      </c>
      <c r="J65" s="105" t="s">
        <v>38</v>
      </c>
      <c r="K65" s="111" cm="1">
        <f t="array" ref="K65">IF(J65="u",
8,
  IF(AND(ISNUMBER(--_xlfn.REGEXEXTRACT(J65,"^\d+")),
      ISNUMBER(--_xlfn.REGEXEXTRACT(J65,"\d+$"))),--_xlfn.REGEXEXTRACT(J65,"\d+$")---_xlfn.REGEXEXTRACT(J65,"^\d+"),
    ""))</f>
        <v>10</v>
      </c>
      <c r="L65" s="105"/>
      <c r="M65" s="111" t="str" cm="1">
        <f t="array" ref="M65">IF(L65="u",
8,
  IF(AND(ISNUMBER(--_xlfn.REGEXEXTRACT(L65,"^\d+")),
      ISNUMBER(--_xlfn.REGEXEXTRACT(L65,"\d+$"))),--_xlfn.REGEXEXTRACT(L65,"\d+$")---_xlfn.REGEXEXTRACT(L65,"^\d+"),
    ""))</f>
        <v/>
      </c>
      <c r="N65" s="105"/>
      <c r="O65" s="111" t="str" cm="1">
        <f t="array" ref="O65">IF(N65="u",
8,
  IF(AND(ISNUMBER(--_xlfn.REGEXEXTRACT(N65,"^\d+")),
      ISNUMBER(--_xlfn.REGEXEXTRACT(N65,"\d+$"))),--_xlfn.REGEXEXTRACT(N65,"\d+$")---_xlfn.REGEXEXTRACT(N65,"^\d+"),
    ""))</f>
        <v/>
      </c>
      <c r="P65" s="50">
        <f t="shared" ref="P65:P75" si="9">SUM(O65,M65,K65,I65,G65,E65,C65)</f>
        <v>34</v>
      </c>
      <c r="Q65" s="38"/>
      <c r="R65" s="3"/>
      <c r="S65" s="3"/>
      <c r="T65" s="3"/>
      <c r="U65" s="3"/>
      <c r="V65" s="3"/>
      <c r="W65" s="3"/>
    </row>
    <row r="66" spans="1:24" ht="15.75" customHeight="1" x14ac:dyDescent="0.2">
      <c r="A66" s="49" t="str">
        <f t="shared" ref="A66:A72" si="10">A52</f>
        <v>P2</v>
      </c>
      <c r="B66" s="105" t="s">
        <v>12</v>
      </c>
      <c r="C66" s="111" cm="1">
        <f t="array" ref="C66">IF(B66="u",
8,
  IF(AND(ISNUMBER(--_xlfn.REGEXEXTRACT(B66,"^\d+")),
      ISNUMBER(--_xlfn.REGEXEXTRACT(B66,"\d+$"))),--_xlfn.REGEXEXTRACT(B66,"\d+$")---_xlfn.REGEXEXTRACT(B66,"^\d+"),
    ""))</f>
        <v>8</v>
      </c>
      <c r="D66" s="105" t="s">
        <v>24</v>
      </c>
      <c r="E66" s="111" cm="1">
        <f t="array" ref="E66">IF(D66="u",
8,
  IF(AND(ISNUMBER(--_xlfn.REGEXEXTRACT(D66,"^\d+")),
      ISNUMBER(--_xlfn.REGEXEXTRACT(D66,"\d+$"))),--_xlfn.REGEXEXTRACT(D66,"\d+$")---_xlfn.REGEXEXTRACT(D66,"^\d+"),
    ""))</f>
        <v>8</v>
      </c>
      <c r="F66" s="105" t="s">
        <v>13</v>
      </c>
      <c r="G66" s="111" cm="1">
        <f t="array" ref="G66">IF(F66="u",
8,
  IF(AND(ISNUMBER(--_xlfn.REGEXEXTRACT(F66,"^\d+")),
      ISNUMBER(--_xlfn.REGEXEXTRACT(F66,"\d+$"))),--_xlfn.REGEXEXTRACT(F66,"\d+$")---_xlfn.REGEXEXTRACT(F66,"^\d+"),
    ""))</f>
        <v>8</v>
      </c>
      <c r="H66" s="105" t="s">
        <v>13</v>
      </c>
      <c r="I66" s="111" cm="1">
        <f t="array" ref="I66">IF(H66="u",
8,
  IF(AND(ISNUMBER(--_xlfn.REGEXEXTRACT(H66,"^\d+")),
      ISNUMBER(--_xlfn.REGEXEXTRACT(H66,"\d+$"))),--_xlfn.REGEXEXTRACT(H66,"\d+$")---_xlfn.REGEXEXTRACT(H66,"^\d+"),
    ""))</f>
        <v>8</v>
      </c>
      <c r="J66" s="105" t="s">
        <v>54</v>
      </c>
      <c r="K66" s="111" cm="1">
        <f t="array" ref="K66">IF(J66="u",
8,
  IF(AND(ISNUMBER(--_xlfn.REGEXEXTRACT(J66,"^\d+")),
      ISNUMBER(--_xlfn.REGEXEXTRACT(J66,"\d+$"))),--_xlfn.REGEXEXTRACT(J66,"\d+$")---_xlfn.REGEXEXTRACT(J66,"^\d+"),
    ""))</f>
        <v>7</v>
      </c>
      <c r="L66" s="105"/>
      <c r="M66" s="111" t="str" cm="1">
        <f t="array" ref="M66">IF(L66="u",
8,
  IF(AND(ISNUMBER(--_xlfn.REGEXEXTRACT(L66,"^\d+")),
      ISNUMBER(--_xlfn.REGEXEXTRACT(L66,"\d+$"))),--_xlfn.REGEXEXTRACT(L66,"\d+$")---_xlfn.REGEXEXTRACT(L66,"^\d+"),
    ""))</f>
        <v/>
      </c>
      <c r="N66" s="105"/>
      <c r="O66" s="111" t="str" cm="1">
        <f t="array" ref="O66">IF(N66="u",
8,
  IF(AND(ISNUMBER(--_xlfn.REGEXEXTRACT(N66,"^\d+")),
      ISNUMBER(--_xlfn.REGEXEXTRACT(N66,"\d+$"))),--_xlfn.REGEXEXTRACT(N66,"\d+$")---_xlfn.REGEXEXTRACT(N66,"^\d+"),
    ""))</f>
        <v/>
      </c>
      <c r="P66" s="50">
        <f t="shared" si="9"/>
        <v>39</v>
      </c>
      <c r="Q66" s="38"/>
      <c r="R66" s="3"/>
      <c r="S66" s="3"/>
      <c r="T66" s="3"/>
      <c r="U66" s="3"/>
      <c r="V66" s="3"/>
      <c r="W66" s="3"/>
    </row>
    <row r="67" spans="1:24" ht="15.75" customHeight="1" x14ac:dyDescent="0.2">
      <c r="A67" s="49" t="str">
        <f t="shared" si="10"/>
        <v>P3</v>
      </c>
      <c r="B67" s="105" t="s">
        <v>42</v>
      </c>
      <c r="C67" s="111" cm="1">
        <f t="array" ref="C67">IF(B67="u",
  4,
  IF(AND(ISNUMBER(--_xlfn.REGEXEXTRACT(B67,"^\d+")),
      ISNUMBER(--_xlfn.REGEXEXTRACT(B67,"\d+$"))),--_xlfn.REGEXEXTRACT(B67,"\d+$")---_xlfn.REGEXEXTRACT(B67,"^\d+"),
    ""))</f>
        <v>6</v>
      </c>
      <c r="D67" s="105" t="s">
        <v>24</v>
      </c>
      <c r="E67" s="111" cm="1">
        <f t="array" ref="E67">IF(D67="u",
  4,
  IF(AND(ISNUMBER(--_xlfn.REGEXEXTRACT(D67,"^\d+")),
      ISNUMBER(--_xlfn.REGEXEXTRACT(D67,"\d+$"))),--_xlfn.REGEXEXTRACT(D67,"\d+$")---_xlfn.REGEXEXTRACT(D67,"^\d+"),
    ""))</f>
        <v>8</v>
      </c>
      <c r="F67" s="133" t="s">
        <v>33</v>
      </c>
      <c r="G67" s="134">
        <v>6</v>
      </c>
      <c r="H67" s="133" t="s">
        <v>33</v>
      </c>
      <c r="I67" s="134">
        <v>6</v>
      </c>
      <c r="J67" s="133" t="s">
        <v>33</v>
      </c>
      <c r="K67" s="134">
        <v>6</v>
      </c>
      <c r="L67" s="105"/>
      <c r="M67" s="111" t="str" cm="1">
        <f t="array" ref="M67">IF(L67="u",
  4,
  IF(AND(ISNUMBER(--_xlfn.REGEXEXTRACT(L67,"^\d+")),
      ISNUMBER(--_xlfn.REGEXEXTRACT(L67,"\d+$"))),--_xlfn.REGEXEXTRACT(L67,"\d+$")---_xlfn.REGEXEXTRACT(L67,"^\d+"),
    ""))</f>
        <v/>
      </c>
      <c r="N67" s="105"/>
      <c r="O67" s="111" t="str" cm="1">
        <f t="array" ref="O67">IF(N67="u",
  4,
  IF(AND(ISNUMBER(--_xlfn.REGEXEXTRACT(N67,"^\d+")),
      ISNUMBER(--_xlfn.REGEXEXTRACT(N67,"\d+$"))),--_xlfn.REGEXEXTRACT(N67,"\d+$")---_xlfn.REGEXEXTRACT(N67,"^\d+"),
    ""))</f>
        <v/>
      </c>
      <c r="P67" s="50">
        <f t="shared" si="9"/>
        <v>32</v>
      </c>
      <c r="Q67" s="38"/>
      <c r="R67" s="3"/>
      <c r="S67" s="3"/>
      <c r="T67" s="3"/>
      <c r="U67" s="3"/>
      <c r="V67" s="3"/>
      <c r="W67" s="3"/>
    </row>
    <row r="68" spans="1:24" ht="15.75" customHeight="1" x14ac:dyDescent="0.2">
      <c r="A68" s="49" t="str">
        <f t="shared" si="10"/>
        <v>P4</v>
      </c>
      <c r="B68" s="105" t="s">
        <v>13</v>
      </c>
      <c r="C68" s="111" cm="1">
        <f t="array" ref="C68">IF(B68="u",
8,
  IF(AND(ISNUMBER(--_xlfn.REGEXEXTRACT(B68,"^\d+")),
      ISNUMBER(--_xlfn.REGEXEXTRACT(B68,"\d+$"))),--_xlfn.REGEXEXTRACT(B68,"\d+$")---_xlfn.REGEXEXTRACT(B68,"^\d+"),
    ""))</f>
        <v>8</v>
      </c>
      <c r="D68" s="105" t="s">
        <v>13</v>
      </c>
      <c r="E68" s="111" cm="1">
        <f t="array" ref="E68">IF(D68="u",
8,
  IF(AND(ISNUMBER(--_xlfn.REGEXEXTRACT(D68,"^\d+")),
      ISNUMBER(--_xlfn.REGEXEXTRACT(D68,"\d+$"))),--_xlfn.REGEXEXTRACT(D68,"\d+$")---_xlfn.REGEXEXTRACT(D68,"^\d+"),
    ""))</f>
        <v>8</v>
      </c>
      <c r="F68" s="105" t="s">
        <v>39</v>
      </c>
      <c r="G68" s="111" cm="1">
        <f t="array" ref="G68">IF(F68="u",
8,
  IF(AND(ISNUMBER(--_xlfn.REGEXEXTRACT(F68,"^\d+")),
      ISNUMBER(--_xlfn.REGEXEXTRACT(F68,"\d+$"))),--_xlfn.REGEXEXTRACT(F68,"\d+$")---_xlfn.REGEXEXTRACT(F68,"^\d+"),
    ""))</f>
        <v>8</v>
      </c>
      <c r="H68" s="105" t="s">
        <v>26</v>
      </c>
      <c r="I68" s="111" t="str" cm="1">
        <f t="array" ref="I68">IF(H68="u",
8,
  IF(AND(ISNUMBER(--_xlfn.REGEXEXTRACT(H68,"^\d+")),
      ISNUMBER(--_xlfn.REGEXEXTRACT(H68,"\d+$"))),--_xlfn.REGEXEXTRACT(H68,"\d+$")---_xlfn.REGEXEXTRACT(H68,"^\d+"),
    ""))</f>
        <v/>
      </c>
      <c r="J68" s="105" t="s">
        <v>14</v>
      </c>
      <c r="K68" s="111" cm="1">
        <f t="array" ref="K68">IF(J68="u",
8,
  IF(AND(ISNUMBER(--_xlfn.REGEXEXTRACT(J68,"^\d+")),
      ISNUMBER(--_xlfn.REGEXEXTRACT(J68,"\d+$"))),--_xlfn.REGEXEXTRACT(J68,"\d+$")---_xlfn.REGEXEXTRACT(J68,"^\d+"),
    ""))</f>
        <v>8</v>
      </c>
      <c r="L68" s="105"/>
      <c r="M68" s="111" t="str" cm="1">
        <f t="array" ref="M68">IF(L68="u",
8,
  IF(AND(ISNUMBER(--_xlfn.REGEXEXTRACT(L68,"^\d+")),
      ISNUMBER(--_xlfn.REGEXEXTRACT(L68,"\d+$"))),--_xlfn.REGEXEXTRACT(L68,"\d+$")---_xlfn.REGEXEXTRACT(L68,"^\d+"),
    ""))</f>
        <v/>
      </c>
      <c r="N68" s="62"/>
      <c r="O68" s="111" t="str" cm="1">
        <f t="array" ref="O68">IF(N68="u",
8,
  IF(AND(ISNUMBER(--_xlfn.REGEXEXTRACT(N68,"^\d+")),
      ISNUMBER(--_xlfn.REGEXEXTRACT(N68,"\d+$"))),--_xlfn.REGEXEXTRACT(N68,"\d+$")---_xlfn.REGEXEXTRACT(N68,"^\d+"),
    ""))</f>
        <v/>
      </c>
      <c r="P68" s="50">
        <f t="shared" si="9"/>
        <v>32</v>
      </c>
      <c r="Q68" s="38"/>
      <c r="R68" s="3"/>
      <c r="S68" s="3"/>
      <c r="T68" s="3"/>
      <c r="U68" s="3"/>
      <c r="V68" s="3"/>
      <c r="W68" s="3"/>
    </row>
    <row r="69" spans="1:24" ht="15.75" customHeight="1" x14ac:dyDescent="0.2">
      <c r="A69" s="49" t="str">
        <f t="shared" si="10"/>
        <v>P5</v>
      </c>
      <c r="B69" s="133" t="s">
        <v>33</v>
      </c>
      <c r="C69" s="134" cm="1">
        <f t="array" ref="C69">IF(B69="u",
8,
  IF(AND(ISNUMBER(--_xlfn.REGEXEXTRACT(B69,"^\d+")),
      ISNUMBER(--_xlfn.REGEXEXTRACT(B69,"\d+$"))),--_xlfn.REGEXEXTRACT(B69,"\d+$")---_xlfn.REGEXEXTRACT(B69,"^\d+"),
    ""))</f>
        <v>8</v>
      </c>
      <c r="D69" s="133" t="s">
        <v>33</v>
      </c>
      <c r="E69" s="134" cm="1">
        <f t="array" ref="E69">IF(D69="u",
8,
  IF(AND(ISNUMBER(--_xlfn.REGEXEXTRACT(D69,"^\d+")),
      ISNUMBER(--_xlfn.REGEXEXTRACT(D69,"\d+$"))),--_xlfn.REGEXEXTRACT(D69,"\d+$")---_xlfn.REGEXEXTRACT(D69,"^\d+"),
    ""))</f>
        <v>8</v>
      </c>
      <c r="F69" s="133" t="s">
        <v>33</v>
      </c>
      <c r="G69" s="134" cm="1">
        <f t="array" ref="G69">IF(F69="u",
8,
  IF(AND(ISNUMBER(--_xlfn.REGEXEXTRACT(F69,"^\d+")),
      ISNUMBER(--_xlfn.REGEXEXTRACT(F69,"\d+$"))),--_xlfn.REGEXEXTRACT(F69,"\d+$")---_xlfn.REGEXEXTRACT(F69,"^\d+"),
    ""))</f>
        <v>8</v>
      </c>
      <c r="H69" s="133" t="s">
        <v>33</v>
      </c>
      <c r="I69" s="134" cm="1">
        <f t="array" ref="I69">IF(H69="u",
8,
  IF(AND(ISNUMBER(--_xlfn.REGEXEXTRACT(H69,"^\d+")),
      ISNUMBER(--_xlfn.REGEXEXTRACT(H69,"\d+$"))),--_xlfn.REGEXEXTRACT(H69,"\d+$")---_xlfn.REGEXEXTRACT(H69,"^\d+"),
    ""))</f>
        <v>8</v>
      </c>
      <c r="J69" s="133" t="s">
        <v>33</v>
      </c>
      <c r="K69" s="134" cm="1">
        <f t="array" ref="K69">IF(J69="u",
8,
  IF(AND(ISNUMBER(--_xlfn.REGEXEXTRACT(J69,"^\d+")),
      ISNUMBER(--_xlfn.REGEXEXTRACT(J69,"\d+$"))),--_xlfn.REGEXEXTRACT(J69,"\d+$")---_xlfn.REGEXEXTRACT(J69,"^\d+"),
    ""))</f>
        <v>8</v>
      </c>
      <c r="L69" s="105" t="s">
        <v>26</v>
      </c>
      <c r="M69" s="111"/>
      <c r="N69" s="105" t="s">
        <v>26</v>
      </c>
      <c r="O69" s="111" t="str" cm="1">
        <f t="array" ref="O69">IF(N69="u",
8,
  IF(AND(ISNUMBER(--_xlfn.REGEXEXTRACT(N69,"^\d+")),
      ISNUMBER(--_xlfn.REGEXEXTRACT(N69,"\d+$"))),--_xlfn.REGEXEXTRACT(N69,"\d+$")---_xlfn.REGEXEXTRACT(N69,"^\d+"),
    ""))</f>
        <v/>
      </c>
      <c r="P69" s="50">
        <f t="shared" si="9"/>
        <v>40</v>
      </c>
      <c r="Q69" s="38"/>
      <c r="R69" s="3"/>
      <c r="S69" s="3"/>
      <c r="T69" s="3"/>
      <c r="U69" s="3"/>
      <c r="V69" s="3"/>
      <c r="W69" s="3"/>
    </row>
    <row r="70" spans="1:24" ht="15.75" customHeight="1" x14ac:dyDescent="0.2">
      <c r="A70" s="49" t="str">
        <f t="shared" si="10"/>
        <v>P6</v>
      </c>
      <c r="B70" s="105" t="s">
        <v>15</v>
      </c>
      <c r="C70" s="111" cm="1">
        <f t="array" ref="C70">IF(B70="u",
6,
  IF(AND(ISNUMBER(--_xlfn.REGEXEXTRACT(B70,"^\d+")),
      ISNUMBER(--_xlfn.REGEXEXTRACT(B70,"\d+$"))),--_xlfn.REGEXEXTRACT(B70,"\d+$")---_xlfn.REGEXEXTRACT(B70,"^\d+"),
    ""))</f>
        <v>8</v>
      </c>
      <c r="D70" s="105" t="s">
        <v>15</v>
      </c>
      <c r="E70" s="111" cm="1">
        <f t="array" ref="E70">IF(D70="u",
6,
  IF(AND(ISNUMBER(--_xlfn.REGEXEXTRACT(D70,"^\d+")),
      ISNUMBER(--_xlfn.REGEXEXTRACT(D70,"\d+$"))),--_xlfn.REGEXEXTRACT(D70,"\d+$")---_xlfn.REGEXEXTRACT(D70,"^\d+"),
    ""))</f>
        <v>8</v>
      </c>
      <c r="F70" s="105" t="s">
        <v>13</v>
      </c>
      <c r="G70" s="111" cm="1">
        <f t="array" ref="G70">IF(F70="u",
6,
  IF(AND(ISNUMBER(--_xlfn.REGEXEXTRACT(F70,"^\d+")),
      ISNUMBER(--_xlfn.REGEXEXTRACT(F70,"\d+$"))),--_xlfn.REGEXEXTRACT(F70,"\d+$")---_xlfn.REGEXEXTRACT(F70,"^\d+"),
    ""))</f>
        <v>8</v>
      </c>
      <c r="H70" s="105" t="s">
        <v>28</v>
      </c>
      <c r="I70" s="111" cm="1">
        <f t="array" ref="I70">IF(H70="u",
6,
  IF(AND(ISNUMBER(--_xlfn.REGEXEXTRACT(H70,"^\d+")),
      ISNUMBER(--_xlfn.REGEXEXTRACT(H70,"\d+$"))),--_xlfn.REGEXEXTRACT(H70,"\d+$")---_xlfn.REGEXEXTRACT(H70,"^\d+"),
    ""))</f>
        <v>8</v>
      </c>
      <c r="J70" s="105" t="s">
        <v>13</v>
      </c>
      <c r="K70" s="111" cm="1">
        <f t="array" ref="K70">IF(J70="u",
6,
  IF(AND(ISNUMBER(--_xlfn.REGEXEXTRACT(J70,"^\d+")),
      ISNUMBER(--_xlfn.REGEXEXTRACT(J70,"\d+$"))),--_xlfn.REGEXEXTRACT(J70,"\d+$")---_xlfn.REGEXEXTRACT(J70,"^\d+"),
    ""))</f>
        <v>8</v>
      </c>
      <c r="L70" s="105"/>
      <c r="M70" s="111" t="str" cm="1">
        <f t="array" ref="M70">IF(L70="u",
6,
  IF(AND(ISNUMBER(--_xlfn.REGEXEXTRACT(L70,"^\d+")),
      ISNUMBER(--_xlfn.REGEXEXTRACT(L70,"\d+$"))),--_xlfn.REGEXEXTRACT(L70,"\d+$")---_xlfn.REGEXEXTRACT(L70,"^\d+"),
    ""))</f>
        <v/>
      </c>
      <c r="N70" s="105"/>
      <c r="O70" s="111" t="str" cm="1">
        <f t="array" ref="O70">IF(N70="u",
6,
  IF(AND(ISNUMBER(--_xlfn.REGEXEXTRACT(N70,"^\d+")),
      ISNUMBER(--_xlfn.REGEXEXTRACT(N70,"\d+$"))),--_xlfn.REGEXEXTRACT(N70,"\d+$")---_xlfn.REGEXEXTRACT(N70,"^\d+"),
    ""))</f>
        <v/>
      </c>
      <c r="P70" s="50">
        <f t="shared" si="9"/>
        <v>40</v>
      </c>
      <c r="Q70" s="38"/>
      <c r="R70" s="3"/>
      <c r="S70" s="3"/>
      <c r="T70" s="3"/>
      <c r="U70" s="3"/>
      <c r="V70" s="3"/>
      <c r="W70" s="3"/>
    </row>
    <row r="71" spans="1:24" ht="15.75" customHeight="1" x14ac:dyDescent="0.2">
      <c r="A71" s="49" t="str">
        <f t="shared" si="10"/>
        <v>P7</v>
      </c>
      <c r="B71" s="105" t="s">
        <v>26</v>
      </c>
      <c r="C71" s="111" t="str" cm="1">
        <f t="array" ref="C71">IF(B71="u",
4,
  IF(AND(ISNUMBER(--_xlfn.REGEXEXTRACT(B71,"^\d+")),
      ISNUMBER(--_xlfn.REGEXEXTRACT(B71,"\d+$"))),--_xlfn.REGEXEXTRACT(B71,"\d+$")---_xlfn.REGEXEXTRACT(B71,"^\d+"),
    ""))</f>
        <v/>
      </c>
      <c r="D71" s="105" t="s">
        <v>26</v>
      </c>
      <c r="E71" s="111" t="str" cm="1">
        <f t="array" ref="E71">IF(D71="u",
4,
  IF(AND(ISNUMBER(--_xlfn.REGEXEXTRACT(D71,"^\d+")),
      ISNUMBER(--_xlfn.REGEXEXTRACT(D71,"\d+$"))),--_xlfn.REGEXEXTRACT(D71,"\d+$")---_xlfn.REGEXEXTRACT(D71,"^\d+"),
    ""))</f>
        <v/>
      </c>
      <c r="F71" s="105" t="s">
        <v>26</v>
      </c>
      <c r="G71" s="111" t="str" cm="1">
        <f t="array" ref="G71">IF(F71="u",
4,
  IF(AND(ISNUMBER(--_xlfn.REGEXEXTRACT(F71,"^\d+")),
      ISNUMBER(--_xlfn.REGEXEXTRACT(F71,"\d+$"))),--_xlfn.REGEXEXTRACT(F71,"\d+$")---_xlfn.REGEXEXTRACT(F71,"^\d+"),
    ""))</f>
        <v/>
      </c>
      <c r="H71" s="105" t="s">
        <v>50</v>
      </c>
      <c r="I71" s="111" cm="1">
        <f t="array" ref="I71">IF(H71="u",
4,
  IF(AND(ISNUMBER(--_xlfn.REGEXEXTRACT(H71,"^\d+")),
      ISNUMBER(--_xlfn.REGEXEXTRACT(H71,"\d+$"))),--_xlfn.REGEXEXTRACT(H71,"\d+$")---_xlfn.REGEXEXTRACT(H71,"^\d+"),
    ""))</f>
        <v>5</v>
      </c>
      <c r="J71" s="105" t="s">
        <v>50</v>
      </c>
      <c r="K71" s="111" cm="1">
        <f t="array" ref="K71">IF(J71="u",
4,
  IF(AND(ISNUMBER(--_xlfn.REGEXEXTRACT(J71,"^\d+")),
      ISNUMBER(--_xlfn.REGEXEXTRACT(J71,"\d+$"))),--_xlfn.REGEXEXTRACT(J71,"\d+$")---_xlfn.REGEXEXTRACT(J71,"^\d+"),
    ""))</f>
        <v>5</v>
      </c>
      <c r="L71" s="105"/>
      <c r="M71" s="111" t="str" cm="1">
        <f t="array" ref="M71">IF(L71="u",
4,
  IF(AND(ISNUMBER(--_xlfn.REGEXEXTRACT(L71,"^\d+")),
      ISNUMBER(--_xlfn.REGEXEXTRACT(L71,"\d+$"))),--_xlfn.REGEXEXTRACT(L71,"\d+$")---_xlfn.REGEXEXTRACT(L71,"^\d+"),
    ""))</f>
        <v/>
      </c>
      <c r="N71" s="105"/>
      <c r="O71" s="111" t="str" cm="1">
        <f t="array" ref="O71">IF(N71="u",
4,
  IF(AND(ISNUMBER(--_xlfn.REGEXEXTRACT(N71,"^\d+")),
      ISNUMBER(--_xlfn.REGEXEXTRACT(N71,"\d+$"))),--_xlfn.REGEXEXTRACT(N71,"\d+$")---_xlfn.REGEXEXTRACT(N71,"^\d+"),
    ""))</f>
        <v/>
      </c>
      <c r="P71" s="50">
        <f t="shared" si="9"/>
        <v>10</v>
      </c>
      <c r="Q71" s="38"/>
      <c r="R71" s="3"/>
      <c r="S71" s="3"/>
      <c r="T71" s="3"/>
      <c r="U71" s="3"/>
      <c r="V71" s="3"/>
      <c r="W71" s="3"/>
    </row>
    <row r="72" spans="1:24" ht="15.75" customHeight="1" x14ac:dyDescent="0.2">
      <c r="A72" s="49" t="str">
        <f t="shared" si="10"/>
        <v>P8</v>
      </c>
      <c r="B72" s="78" t="s">
        <v>50</v>
      </c>
      <c r="C72" s="111" cm="1">
        <f t="array" ref="C72">IF(B72="u",
4,
  IF(AND(ISNUMBER(--_xlfn.REGEXEXTRACT(B72,"^\d+")),
      ISNUMBER(--_xlfn.REGEXEXTRACT(B72,"\d+$"))),--_xlfn.REGEXEXTRACT(B72,"\d+$")---_xlfn.REGEXEXTRACT(B72,"^\d+"),
    ""))</f>
        <v>5</v>
      </c>
      <c r="D72" s="105" t="s">
        <v>26</v>
      </c>
      <c r="E72" s="111" t="str" cm="1">
        <f t="array" ref="E72">IF(D72="u",
4,
  IF(AND(ISNUMBER(--_xlfn.REGEXEXTRACT(D72,"^\d+")),
      ISNUMBER(--_xlfn.REGEXEXTRACT(D72,"\d+$"))),--_xlfn.REGEXEXTRACT(D72,"\d+$")---_xlfn.REGEXEXTRACT(D72,"^\d+"),
    ""))</f>
        <v/>
      </c>
      <c r="F72" s="78" t="s">
        <v>26</v>
      </c>
      <c r="G72" s="111" t="str" cm="1">
        <f t="array" ref="G72">IF(F72="u",
4,
  IF(AND(ISNUMBER(--_xlfn.REGEXEXTRACT(F72,"^\d+")),
      ISNUMBER(--_xlfn.REGEXEXTRACT(F72,"\d+$"))),--_xlfn.REGEXEXTRACT(F72,"\d+$")---_xlfn.REGEXEXTRACT(F72,"^\d+"),
    ""))</f>
        <v/>
      </c>
      <c r="H72" s="105" t="s">
        <v>42</v>
      </c>
      <c r="I72" s="111" cm="1">
        <f t="array" ref="I72">IF(H72="u",
4,
  IF(AND(ISNUMBER(--_xlfn.REGEXEXTRACT(H72,"^\d+")),
      ISNUMBER(--_xlfn.REGEXEXTRACT(H72,"\d+$"))),--_xlfn.REGEXEXTRACT(H72,"\d+$")---_xlfn.REGEXEXTRACT(H72,"^\d+"),
    ""))</f>
        <v>6</v>
      </c>
      <c r="J72" s="78" t="s">
        <v>26</v>
      </c>
      <c r="K72" s="111" t="str" cm="1">
        <f t="array" ref="K72">IF(J72="u",
4,
  IF(AND(ISNUMBER(--_xlfn.REGEXEXTRACT(J72,"^\d+")),
      ISNUMBER(--_xlfn.REGEXEXTRACT(J72,"\d+$"))),--_xlfn.REGEXEXTRACT(J72,"\d+$")---_xlfn.REGEXEXTRACT(J72,"^\d+"),
    ""))</f>
        <v/>
      </c>
      <c r="L72" s="105"/>
      <c r="M72" s="111" t="str" cm="1">
        <f t="array" ref="M72">IF(L72="u",
4,
  IF(AND(ISNUMBER(--_xlfn.REGEXEXTRACT(L72,"^\d+")),
      ISNUMBER(--_xlfn.REGEXEXTRACT(L72,"\d+$"))),--_xlfn.REGEXEXTRACT(L72,"\d+$")---_xlfn.REGEXEXTRACT(L72,"^\d+"),
    ""))</f>
        <v/>
      </c>
      <c r="N72" s="105"/>
      <c r="O72" s="111" t="str" cm="1">
        <f t="array" ref="O72">IF(N72="u",
4,
  IF(AND(ISNUMBER(--_xlfn.REGEXEXTRACT(N72,"^\d+")),
      ISNUMBER(--_xlfn.REGEXEXTRACT(N72,"\d+$"))),--_xlfn.REGEXEXTRACT(N72,"\d+$")---_xlfn.REGEXEXTRACT(N72,"^\d+"),
    ""))</f>
        <v/>
      </c>
      <c r="P72" s="50">
        <f t="shared" si="9"/>
        <v>11</v>
      </c>
      <c r="Q72" s="38"/>
      <c r="R72" s="3"/>
      <c r="S72" s="3"/>
      <c r="T72" s="3"/>
      <c r="U72" s="3"/>
      <c r="V72" s="3"/>
      <c r="W72" s="3"/>
      <c r="X72" t="s">
        <v>10</v>
      </c>
    </row>
    <row r="73" spans="1:24" ht="15.75" customHeight="1" x14ac:dyDescent="0.2">
      <c r="A73" s="87"/>
      <c r="B73" s="74"/>
      <c r="C73" s="72"/>
      <c r="D73" s="74"/>
      <c r="E73" s="72"/>
      <c r="F73" s="74"/>
      <c r="G73" s="75"/>
      <c r="H73" s="74"/>
      <c r="I73" s="76"/>
      <c r="J73" s="73"/>
      <c r="K73" s="76"/>
      <c r="L73" s="74"/>
      <c r="M73" s="76"/>
      <c r="N73" s="72"/>
      <c r="O73" s="88"/>
      <c r="P73" s="51">
        <f t="shared" si="9"/>
        <v>0</v>
      </c>
      <c r="Q73" s="38"/>
      <c r="R73" s="3"/>
      <c r="S73" s="3"/>
      <c r="T73" s="3"/>
      <c r="U73" s="3"/>
      <c r="V73" s="3"/>
      <c r="W73" s="3"/>
    </row>
    <row r="74" spans="1:24" ht="15.75" customHeight="1" x14ac:dyDescent="0.2">
      <c r="A74" s="87"/>
      <c r="B74" s="72"/>
      <c r="C74" s="72"/>
      <c r="D74" s="73"/>
      <c r="E74" s="75"/>
      <c r="F74" s="89"/>
      <c r="G74" s="73"/>
      <c r="H74" s="73"/>
      <c r="I74" s="75"/>
      <c r="J74" s="73"/>
      <c r="K74" s="75"/>
      <c r="L74" s="73"/>
      <c r="M74" s="75"/>
      <c r="N74" s="72"/>
      <c r="O74" s="88"/>
      <c r="P74" s="51">
        <f t="shared" si="9"/>
        <v>0</v>
      </c>
      <c r="Q74" s="38"/>
      <c r="R74" s="3"/>
      <c r="S74" s="3"/>
      <c r="T74" s="3"/>
      <c r="U74" s="3"/>
      <c r="V74" s="3"/>
      <c r="W74" s="3"/>
    </row>
    <row r="75" spans="1:24" ht="15.75" customHeight="1" x14ac:dyDescent="0.2">
      <c r="A75" s="87"/>
      <c r="B75" s="72"/>
      <c r="C75" s="72"/>
      <c r="D75" s="72"/>
      <c r="E75" s="72"/>
      <c r="F75" s="72"/>
      <c r="G75" s="73"/>
      <c r="H75" s="73"/>
      <c r="I75" s="75"/>
      <c r="J75" s="73"/>
      <c r="K75" s="75"/>
      <c r="L75" s="73"/>
      <c r="M75" s="75"/>
      <c r="N75" s="72"/>
      <c r="O75" s="85"/>
      <c r="P75" s="51">
        <f t="shared" si="9"/>
        <v>0</v>
      </c>
      <c r="Q75" s="38"/>
      <c r="R75" s="3"/>
      <c r="S75" s="3"/>
      <c r="T75" s="3"/>
      <c r="U75" s="3"/>
      <c r="V75" s="3"/>
      <c r="W75" s="3"/>
    </row>
    <row r="76" spans="1:24" ht="15.75" customHeight="1" thickBot="1" x14ac:dyDescent="0.25">
      <c r="A76" s="59" t="s">
        <v>9</v>
      </c>
      <c r="B76" s="141">
        <f>SUM(C65:C75)</f>
        <v>43</v>
      </c>
      <c r="C76" s="142"/>
      <c r="D76" s="141">
        <f>SUM(E65:E75)</f>
        <v>48</v>
      </c>
      <c r="E76" s="142"/>
      <c r="F76" s="141">
        <f>SUM(G65:G75)</f>
        <v>46</v>
      </c>
      <c r="G76" s="142"/>
      <c r="H76" s="141">
        <f>SUM(I65:I75)</f>
        <v>49</v>
      </c>
      <c r="I76" s="142"/>
      <c r="J76" s="141">
        <f>SUM(K65:K75)</f>
        <v>52</v>
      </c>
      <c r="K76" s="142"/>
      <c r="L76" s="141">
        <f>SUM(M65:M75)</f>
        <v>0</v>
      </c>
      <c r="M76" s="142"/>
      <c r="N76" s="141">
        <f>SUM(O65:O75)</f>
        <v>0</v>
      </c>
      <c r="O76" s="143"/>
      <c r="P76" s="60">
        <f>SUM(P65:P75)</f>
        <v>238</v>
      </c>
      <c r="Q76" s="38"/>
      <c r="R76" s="3"/>
      <c r="S76" s="3"/>
      <c r="T76" s="3"/>
      <c r="U76" s="3"/>
      <c r="V76" s="3"/>
      <c r="W76" s="3"/>
    </row>
    <row r="77" spans="1:24" ht="31.5" customHeight="1" x14ac:dyDescent="0.2">
      <c r="A77" s="42"/>
      <c r="B77" s="144"/>
      <c r="C77" s="145"/>
      <c r="D77" s="144"/>
      <c r="E77" s="145"/>
      <c r="F77" s="42"/>
      <c r="G77" s="42"/>
      <c r="H77" s="42"/>
      <c r="I77" s="42"/>
      <c r="J77" s="42"/>
      <c r="K77" s="42"/>
      <c r="L77" s="42"/>
      <c r="M77" s="42"/>
      <c r="N77" s="42"/>
      <c r="O77" s="43"/>
      <c r="P77" s="44"/>
      <c r="Q77" s="3"/>
      <c r="R77" s="3"/>
      <c r="S77" s="3"/>
      <c r="T77" s="3"/>
      <c r="U77" s="3"/>
      <c r="V77" s="3"/>
      <c r="W77" s="3"/>
    </row>
    <row r="78" spans="1:24" ht="15.75" customHeight="1" x14ac:dyDescent="0.2">
      <c r="A78" s="22" t="s">
        <v>1</v>
      </c>
      <c r="B78" s="23" t="s">
        <v>2</v>
      </c>
      <c r="C78" s="23" t="s">
        <v>3</v>
      </c>
      <c r="D78" s="23" t="s">
        <v>2</v>
      </c>
      <c r="E78" s="23" t="s">
        <v>3</v>
      </c>
      <c r="F78" s="23" t="s">
        <v>2</v>
      </c>
      <c r="G78" s="23" t="s">
        <v>3</v>
      </c>
      <c r="H78" s="23" t="s">
        <v>2</v>
      </c>
      <c r="I78" s="23" t="s">
        <v>3</v>
      </c>
      <c r="J78" s="23" t="s">
        <v>2</v>
      </c>
      <c r="K78" s="23" t="s">
        <v>3</v>
      </c>
      <c r="L78" s="23" t="s">
        <v>2</v>
      </c>
      <c r="M78" s="23" t="s">
        <v>3</v>
      </c>
      <c r="N78" s="23" t="s">
        <v>4</v>
      </c>
      <c r="O78" s="24"/>
      <c r="P78" s="25" t="s">
        <v>11</v>
      </c>
      <c r="Q78" s="3"/>
      <c r="R78" s="3"/>
      <c r="S78" s="3"/>
      <c r="T78" s="3"/>
      <c r="U78" s="3"/>
      <c r="V78" s="3"/>
      <c r="W78" s="3"/>
    </row>
    <row r="79" spans="1:24" ht="15.75" customHeight="1" x14ac:dyDescent="0.2">
      <c r="A79" s="9" t="str">
        <f>A23</f>
        <v>P1</v>
      </c>
      <c r="B79" s="10"/>
      <c r="C79" s="11"/>
      <c r="D79" s="62"/>
      <c r="E79" s="62"/>
      <c r="F79" s="11"/>
      <c r="G79" s="11"/>
      <c r="H79" s="11"/>
      <c r="I79" s="11"/>
      <c r="J79" s="11"/>
      <c r="K79" s="11"/>
      <c r="L79" s="11"/>
      <c r="M79" s="11"/>
      <c r="N79" s="15"/>
      <c r="O79" s="26"/>
      <c r="P79" s="12">
        <f t="shared" ref="P79:P90" si="11">SUM(O79,M79,K79,I79,G79,E79,C79)</f>
        <v>0</v>
      </c>
      <c r="Q79" s="3"/>
      <c r="R79" s="3"/>
      <c r="S79" s="3"/>
      <c r="T79" s="3"/>
      <c r="U79" s="3"/>
      <c r="V79" s="3"/>
      <c r="W79" s="3"/>
      <c r="X79" s="65"/>
    </row>
    <row r="80" spans="1:24" ht="15.75" customHeight="1" x14ac:dyDescent="0.2">
      <c r="A80" s="9" t="str">
        <f t="shared" ref="A80:A90" si="12">A66</f>
        <v>P2</v>
      </c>
      <c r="B80" s="10"/>
      <c r="C80" s="11"/>
      <c r="D80" s="62"/>
      <c r="E80" s="62"/>
      <c r="F80" s="11"/>
      <c r="G80" s="11"/>
      <c r="H80" s="11"/>
      <c r="I80" s="11"/>
      <c r="J80" s="11"/>
      <c r="K80" s="11"/>
      <c r="L80" s="11"/>
      <c r="M80" s="11"/>
      <c r="N80" s="15"/>
      <c r="O80" s="26"/>
      <c r="P80" s="12">
        <f t="shared" si="11"/>
        <v>0</v>
      </c>
      <c r="Q80" s="3"/>
      <c r="R80" s="3"/>
      <c r="S80" s="3"/>
      <c r="T80" s="3"/>
      <c r="U80" s="3"/>
      <c r="V80" s="3"/>
      <c r="W80" s="3"/>
    </row>
    <row r="81" spans="1:23" ht="15.75" customHeight="1" x14ac:dyDescent="0.2">
      <c r="A81" s="9" t="str">
        <f t="shared" si="12"/>
        <v>P3</v>
      </c>
      <c r="B81" s="10"/>
      <c r="C81" s="11"/>
      <c r="D81" s="62"/>
      <c r="E81" s="62"/>
      <c r="F81" s="11"/>
      <c r="G81" s="11"/>
      <c r="H81" s="11"/>
      <c r="I81" s="11"/>
      <c r="J81" s="11"/>
      <c r="K81" s="11"/>
      <c r="L81" s="11"/>
      <c r="M81" s="11"/>
      <c r="N81" s="15"/>
      <c r="O81" s="26"/>
      <c r="P81" s="12">
        <f t="shared" si="11"/>
        <v>0</v>
      </c>
      <c r="Q81" s="3"/>
      <c r="R81" s="3"/>
      <c r="S81" s="3"/>
      <c r="T81" s="3"/>
      <c r="U81" s="3"/>
      <c r="V81" s="3"/>
      <c r="W81" s="3"/>
    </row>
    <row r="82" spans="1:23" ht="15.75" customHeight="1" x14ac:dyDescent="0.2">
      <c r="A82" s="9" t="str">
        <f t="shared" si="12"/>
        <v>P4</v>
      </c>
      <c r="B82" s="10"/>
      <c r="C82" s="11"/>
      <c r="D82" s="62"/>
      <c r="E82" s="62"/>
      <c r="F82" s="11"/>
      <c r="G82" s="11"/>
      <c r="H82" s="11"/>
      <c r="I82" s="11"/>
      <c r="J82" s="11"/>
      <c r="K82" s="11"/>
      <c r="L82" s="11"/>
      <c r="M82" s="11"/>
      <c r="N82" s="15"/>
      <c r="O82" s="26"/>
      <c r="P82" s="12">
        <f t="shared" si="11"/>
        <v>0</v>
      </c>
      <c r="Q82" s="3"/>
      <c r="R82" s="3"/>
      <c r="S82" s="3"/>
      <c r="T82" s="3"/>
      <c r="U82" s="3"/>
      <c r="V82" s="3"/>
      <c r="W82" s="3"/>
    </row>
    <row r="83" spans="1:23" ht="15.75" customHeight="1" x14ac:dyDescent="0.2">
      <c r="A83" s="9" t="str">
        <f t="shared" si="12"/>
        <v>P5</v>
      </c>
      <c r="B83" s="11"/>
      <c r="C83" s="11"/>
      <c r="D83" s="62"/>
      <c r="E83" s="62"/>
      <c r="F83" s="11"/>
      <c r="G83" s="11"/>
      <c r="H83" s="11"/>
      <c r="I83" s="11"/>
      <c r="J83" s="11"/>
      <c r="K83" s="11"/>
      <c r="L83" s="11"/>
      <c r="M83" s="11"/>
      <c r="N83" s="15"/>
      <c r="O83" s="26"/>
      <c r="P83" s="12">
        <f t="shared" si="11"/>
        <v>0</v>
      </c>
      <c r="Q83" s="3"/>
      <c r="R83" s="3"/>
      <c r="S83" s="3"/>
      <c r="T83" s="3"/>
      <c r="U83" s="3"/>
      <c r="V83" s="3"/>
      <c r="W83" s="3"/>
    </row>
    <row r="84" spans="1:23" ht="15.75" customHeight="1" x14ac:dyDescent="0.2">
      <c r="A84" s="9" t="str">
        <f t="shared" si="12"/>
        <v>P6</v>
      </c>
      <c r="B84" s="10"/>
      <c r="C84" s="11"/>
      <c r="D84" s="62"/>
      <c r="E84" s="62"/>
      <c r="F84" s="11"/>
      <c r="G84" s="11"/>
      <c r="H84" s="11"/>
      <c r="I84" s="11"/>
      <c r="J84" s="11"/>
      <c r="K84" s="11"/>
      <c r="L84" s="11"/>
      <c r="M84" s="11"/>
      <c r="N84" s="21"/>
      <c r="O84" s="27"/>
      <c r="P84" s="12">
        <f t="shared" si="11"/>
        <v>0</v>
      </c>
      <c r="Q84" s="3"/>
      <c r="R84" s="3"/>
      <c r="S84" s="3"/>
      <c r="T84" s="3"/>
      <c r="U84" s="3"/>
      <c r="V84" s="3"/>
      <c r="W84" s="3"/>
    </row>
    <row r="85" spans="1:23" ht="15.75" customHeight="1" x14ac:dyDescent="0.2">
      <c r="A85" s="9" t="str">
        <f t="shared" si="12"/>
        <v>P7</v>
      </c>
      <c r="B85" s="10"/>
      <c r="C85" s="11"/>
      <c r="D85" s="62"/>
      <c r="E85" s="62"/>
      <c r="F85" s="11"/>
      <c r="G85" s="11"/>
      <c r="H85" s="11"/>
      <c r="I85" s="11"/>
      <c r="J85" s="11"/>
      <c r="K85" s="11"/>
      <c r="L85" s="11"/>
      <c r="M85" s="11"/>
      <c r="N85" s="15"/>
      <c r="O85" s="26"/>
      <c r="P85" s="12">
        <f t="shared" si="11"/>
        <v>0</v>
      </c>
      <c r="Q85" s="3"/>
      <c r="R85" s="3"/>
      <c r="S85" s="3"/>
      <c r="T85" s="3"/>
      <c r="U85" s="3"/>
      <c r="V85" s="3"/>
      <c r="W85" s="3"/>
    </row>
    <row r="86" spans="1:23" ht="15.75" customHeight="1" x14ac:dyDescent="0.2">
      <c r="A86" s="9" t="str">
        <f t="shared" si="12"/>
        <v>P8</v>
      </c>
      <c r="B86" s="11"/>
      <c r="C86" s="11"/>
      <c r="D86" s="62"/>
      <c r="E86" s="62"/>
      <c r="F86" s="11"/>
      <c r="G86" s="11"/>
      <c r="H86" s="11"/>
      <c r="I86" s="11"/>
      <c r="J86" s="11"/>
      <c r="K86" s="11"/>
      <c r="L86" s="11"/>
      <c r="M86" s="11"/>
      <c r="N86" s="21"/>
      <c r="O86" s="27"/>
      <c r="P86" s="12">
        <f t="shared" si="11"/>
        <v>0</v>
      </c>
      <c r="Q86" s="3"/>
      <c r="R86" s="3"/>
      <c r="S86" s="3"/>
      <c r="T86" s="3"/>
      <c r="U86" s="3"/>
      <c r="V86" s="3"/>
      <c r="W86" s="3"/>
    </row>
    <row r="87" spans="1:23" ht="15.75" customHeight="1" x14ac:dyDescent="0.2">
      <c r="A87" s="83"/>
      <c r="B87" s="84"/>
      <c r="C87" s="85"/>
      <c r="D87" s="72"/>
      <c r="E87" s="72"/>
      <c r="F87" s="85"/>
      <c r="G87" s="85"/>
      <c r="H87" s="85"/>
      <c r="I87" s="85"/>
      <c r="J87" s="85"/>
      <c r="K87" s="85"/>
      <c r="L87" s="86"/>
      <c r="M87" s="85"/>
      <c r="N87" s="21"/>
      <c r="O87" s="27"/>
      <c r="P87" s="16">
        <f t="shared" si="11"/>
        <v>0</v>
      </c>
      <c r="Q87" s="3"/>
      <c r="R87" s="3"/>
      <c r="S87" s="3"/>
      <c r="T87" s="3"/>
      <c r="U87" s="3"/>
      <c r="V87" s="3"/>
      <c r="W87" s="3"/>
    </row>
    <row r="88" spans="1:23" ht="15.75" customHeight="1" x14ac:dyDescent="0.2">
      <c r="A88" s="83"/>
      <c r="B88" s="84"/>
      <c r="C88" s="85"/>
      <c r="D88" s="72"/>
      <c r="E88" s="72"/>
      <c r="F88" s="85"/>
      <c r="G88" s="85"/>
      <c r="H88" s="85"/>
      <c r="I88" s="85"/>
      <c r="J88" s="85"/>
      <c r="K88" s="85"/>
      <c r="L88" s="85"/>
      <c r="M88" s="85"/>
      <c r="N88" s="21"/>
      <c r="O88" s="27"/>
      <c r="P88" s="16">
        <f t="shared" si="11"/>
        <v>0</v>
      </c>
      <c r="Q88" s="3"/>
      <c r="R88" s="3"/>
      <c r="S88" s="3"/>
      <c r="T88" s="3"/>
      <c r="U88" s="3"/>
      <c r="V88" s="3"/>
      <c r="W88" s="3"/>
    </row>
    <row r="89" spans="1:23" ht="15.75" customHeight="1" x14ac:dyDescent="0.2">
      <c r="A89" s="83"/>
      <c r="B89" s="85"/>
      <c r="C89" s="85"/>
      <c r="D89" s="72"/>
      <c r="E89" s="72"/>
      <c r="F89" s="85"/>
      <c r="G89" s="85"/>
      <c r="H89" s="85"/>
      <c r="I89" s="85"/>
      <c r="J89" s="85"/>
      <c r="K89" s="85"/>
      <c r="L89" s="85"/>
      <c r="M89" s="85"/>
      <c r="N89" s="28"/>
      <c r="O89" s="27"/>
      <c r="P89" s="16">
        <f t="shared" si="11"/>
        <v>0</v>
      </c>
      <c r="Q89" s="3"/>
      <c r="R89" s="3"/>
      <c r="S89" s="3"/>
      <c r="T89" s="3"/>
      <c r="U89" s="3"/>
      <c r="V89" s="3"/>
      <c r="W89" s="3"/>
    </row>
    <row r="90" spans="1:23" ht="15.75" customHeight="1" x14ac:dyDescent="0.2">
      <c r="A90" s="9" t="str">
        <f t="shared" si="12"/>
        <v>Total Paid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8"/>
      <c r="O90" s="27"/>
      <c r="P90" s="16">
        <f t="shared" si="11"/>
        <v>0</v>
      </c>
      <c r="Q90" s="3"/>
      <c r="R90" s="3"/>
      <c r="S90" s="3"/>
      <c r="T90" s="3"/>
      <c r="U90" s="3"/>
      <c r="V90" s="3"/>
      <c r="W90" s="3"/>
    </row>
    <row r="91" spans="1:23" ht="15.75" customHeight="1" x14ac:dyDescent="0.2">
      <c r="A91" s="29" t="s">
        <v>9</v>
      </c>
      <c r="B91" s="146">
        <f>SUM(C79:C90)</f>
        <v>0</v>
      </c>
      <c r="C91" s="147"/>
      <c r="D91" s="146">
        <f>SUM(E79:E90)</f>
        <v>0</v>
      </c>
      <c r="E91" s="147"/>
      <c r="F91" s="30">
        <v>0</v>
      </c>
      <c r="G91" s="30"/>
      <c r="H91" s="30">
        <v>0</v>
      </c>
      <c r="I91" s="30"/>
      <c r="J91" s="30">
        <v>0</v>
      </c>
      <c r="K91" s="30"/>
      <c r="L91" s="30">
        <v>0</v>
      </c>
      <c r="M91" s="30"/>
      <c r="N91" s="30">
        <v>0</v>
      </c>
      <c r="O91" s="31"/>
      <c r="P91" s="19">
        <f>SUM(P79:P90)</f>
        <v>0</v>
      </c>
      <c r="Q91" s="3"/>
      <c r="R91" s="3"/>
      <c r="S91" s="3"/>
      <c r="T91" s="3"/>
      <c r="U91" s="3"/>
      <c r="V91" s="3"/>
      <c r="W91" s="3"/>
    </row>
    <row r="92" spans="1:23" ht="15.7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32"/>
      <c r="P92" s="33"/>
      <c r="Q92" s="3"/>
      <c r="R92" s="3"/>
      <c r="S92" s="3"/>
      <c r="T92" s="3"/>
      <c r="U92" s="3"/>
      <c r="V92" s="3"/>
      <c r="W92" s="3"/>
    </row>
    <row r="93" spans="1:23" ht="15.75" customHeight="1" x14ac:dyDescent="0.2">
      <c r="B93" s="65"/>
      <c r="C93" s="61"/>
      <c r="H93" s="65"/>
      <c r="I93" s="20"/>
    </row>
    <row r="94" spans="1:23" ht="15.75" customHeight="1" x14ac:dyDescent="0.2">
      <c r="B94" s="63"/>
      <c r="C94" s="64"/>
      <c r="H94" s="65"/>
      <c r="I94" s="20"/>
    </row>
    <row r="95" spans="1:23" ht="15.75" customHeight="1" x14ac:dyDescent="0.2">
      <c r="B95" s="63"/>
      <c r="H95" s="65"/>
      <c r="I95" s="20"/>
    </row>
    <row r="96" spans="1:23" ht="15.75" customHeight="1" x14ac:dyDescent="0.2">
      <c r="B96" s="65"/>
      <c r="C96" s="20"/>
    </row>
    <row r="97" spans="2:7" ht="15.75" customHeight="1" x14ac:dyDescent="0.2">
      <c r="B97" s="65"/>
      <c r="C97" s="20"/>
    </row>
    <row r="98" spans="2:7" ht="13.5" customHeight="1" x14ac:dyDescent="0.55000000000000004">
      <c r="B98" s="63"/>
      <c r="C98" s="66"/>
      <c r="F98" s="34"/>
      <c r="G98" s="34"/>
    </row>
    <row r="99" spans="2:7" ht="15.75" customHeight="1" x14ac:dyDescent="0.2">
      <c r="C99" s="67"/>
    </row>
    <row r="100" spans="2:7" ht="15.75" customHeight="1" x14ac:dyDescent="0.2">
      <c r="C100" s="68"/>
    </row>
    <row r="101" spans="2:7" ht="15.75" customHeight="1" x14ac:dyDescent="0.2"/>
    <row r="102" spans="2:7" ht="15.75" customHeight="1" x14ac:dyDescent="0.2"/>
    <row r="103" spans="2:7" ht="15.75" customHeight="1" x14ac:dyDescent="0.2"/>
    <row r="104" spans="2:7" ht="15.75" customHeight="1" x14ac:dyDescent="0.2"/>
    <row r="105" spans="2:7" ht="15.75" customHeight="1" x14ac:dyDescent="0.2"/>
    <row r="106" spans="2:7" ht="15.75" customHeight="1" x14ac:dyDescent="0.2"/>
    <row r="107" spans="2:7" ht="15.75" customHeight="1" x14ac:dyDescent="0.2"/>
    <row r="108" spans="2:7" ht="15.75" customHeight="1" x14ac:dyDescent="0.2"/>
    <row r="109" spans="2:7" ht="15.75" customHeight="1" x14ac:dyDescent="0.2"/>
    <row r="110" spans="2:7" ht="15.75" customHeight="1" x14ac:dyDescent="0.2"/>
    <row r="111" spans="2:7" ht="15.75" customHeight="1" x14ac:dyDescent="0.2"/>
    <row r="112" spans="2:7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5">
    <mergeCell ref="L49:M49"/>
    <mergeCell ref="N49:O49"/>
    <mergeCell ref="J49:K49"/>
    <mergeCell ref="B62:C62"/>
    <mergeCell ref="D62:E62"/>
    <mergeCell ref="F62:G62"/>
    <mergeCell ref="H62:I62"/>
    <mergeCell ref="J62:K62"/>
    <mergeCell ref="B49:C49"/>
    <mergeCell ref="D49:E49"/>
    <mergeCell ref="F49:G49"/>
    <mergeCell ref="H49:I49"/>
    <mergeCell ref="L63:M63"/>
    <mergeCell ref="N63:O63"/>
    <mergeCell ref="L62:M62"/>
    <mergeCell ref="N62:O62"/>
    <mergeCell ref="B63:C63"/>
    <mergeCell ref="D63:E63"/>
    <mergeCell ref="F63:G63"/>
    <mergeCell ref="H63:I63"/>
    <mergeCell ref="J63:K63"/>
    <mergeCell ref="B2:L2"/>
    <mergeCell ref="D7:E7"/>
    <mergeCell ref="F7:G7"/>
    <mergeCell ref="H7:I7"/>
    <mergeCell ref="J7:K7"/>
    <mergeCell ref="L7:M7"/>
    <mergeCell ref="N7:O7"/>
    <mergeCell ref="B7:C7"/>
    <mergeCell ref="D20:E20"/>
    <mergeCell ref="F20:G20"/>
    <mergeCell ref="H20:I20"/>
    <mergeCell ref="J20:K20"/>
    <mergeCell ref="L20:M20"/>
    <mergeCell ref="N20:O20"/>
    <mergeCell ref="B20:C20"/>
    <mergeCell ref="N21:O21"/>
    <mergeCell ref="B21:C21"/>
    <mergeCell ref="D34:E34"/>
    <mergeCell ref="F34:G34"/>
    <mergeCell ref="H34:I34"/>
    <mergeCell ref="J34:K34"/>
    <mergeCell ref="L34:M34"/>
    <mergeCell ref="N34:O34"/>
    <mergeCell ref="B34:C34"/>
    <mergeCell ref="D21:E21"/>
    <mergeCell ref="F21:G21"/>
    <mergeCell ref="H21:I21"/>
    <mergeCell ref="J21:K21"/>
    <mergeCell ref="L21:M21"/>
    <mergeCell ref="N35:O35"/>
    <mergeCell ref="B35:C35"/>
    <mergeCell ref="D48:E48"/>
    <mergeCell ref="F48:G48"/>
    <mergeCell ref="H48:I48"/>
    <mergeCell ref="J48:K48"/>
    <mergeCell ref="L48:M48"/>
    <mergeCell ref="N48:O48"/>
    <mergeCell ref="D35:E35"/>
    <mergeCell ref="F35:G35"/>
    <mergeCell ref="H35:I35"/>
    <mergeCell ref="J35:K35"/>
    <mergeCell ref="L35:M35"/>
    <mergeCell ref="B48:C48"/>
    <mergeCell ref="B77:C77"/>
    <mergeCell ref="B91:C91"/>
    <mergeCell ref="D91:E91"/>
    <mergeCell ref="B76:C76"/>
    <mergeCell ref="D76:E76"/>
    <mergeCell ref="D77:E77"/>
    <mergeCell ref="F76:G76"/>
    <mergeCell ref="H76:I76"/>
    <mergeCell ref="J76:K76"/>
    <mergeCell ref="L76:M76"/>
    <mergeCell ref="N76:O76"/>
  </mergeCells>
  <conditionalFormatting sqref="C9:C16">
    <cfRule type="expression" dxfId="34" priority="95">
      <formula>A1="u"</formula>
    </cfRule>
  </conditionalFormatting>
  <conditionalFormatting sqref="C23:C30 D28:K28">
    <cfRule type="expression" dxfId="33" priority="22">
      <formula>A15="u"</formula>
    </cfRule>
  </conditionalFormatting>
  <conditionalFormatting sqref="C37:C44 D42:K42">
    <cfRule type="expression" dxfId="32" priority="21">
      <formula>A29="u"</formula>
    </cfRule>
  </conditionalFormatting>
  <conditionalFormatting sqref="C51:C58">
    <cfRule type="expression" dxfId="31" priority="8">
      <formula>A43="u"</formula>
    </cfRule>
  </conditionalFormatting>
  <conditionalFormatting sqref="C65:C72">
    <cfRule type="expression" dxfId="30" priority="7">
      <formula>A57="u"</formula>
    </cfRule>
  </conditionalFormatting>
  <conditionalFormatting sqref="E9:E16">
    <cfRule type="expression" dxfId="29" priority="34">
      <formula>C1="u"</formula>
    </cfRule>
  </conditionalFormatting>
  <conditionalFormatting sqref="E23:E27 E29:E30">
    <cfRule type="expression" dxfId="28" priority="23">
      <formula>C15="u"</formula>
    </cfRule>
  </conditionalFormatting>
  <conditionalFormatting sqref="E37:E41 E43:E44">
    <cfRule type="expression" dxfId="27" priority="20">
      <formula>C29="u"</formula>
    </cfRule>
  </conditionalFormatting>
  <conditionalFormatting sqref="E51:E58">
    <cfRule type="expression" dxfId="26" priority="9">
      <formula>C43="u"</formula>
    </cfRule>
  </conditionalFormatting>
  <conditionalFormatting sqref="E65:E72">
    <cfRule type="expression" dxfId="25" priority="6">
      <formula>C57="u"</formula>
    </cfRule>
  </conditionalFormatting>
  <conditionalFormatting sqref="G9:G16">
    <cfRule type="expression" dxfId="24" priority="33">
      <formula>E1="u"</formula>
    </cfRule>
  </conditionalFormatting>
  <conditionalFormatting sqref="G23:G27 G29:G30">
    <cfRule type="expression" dxfId="23" priority="24">
      <formula>E15="u"</formula>
    </cfRule>
  </conditionalFormatting>
  <conditionalFormatting sqref="G37:G41 H40:I40 G43:G44">
    <cfRule type="expression" dxfId="22" priority="19">
      <formula>E29="u"</formula>
    </cfRule>
  </conditionalFormatting>
  <conditionalFormatting sqref="G51:G58">
    <cfRule type="expression" dxfId="21" priority="10">
      <formula>E43="u"</formula>
    </cfRule>
  </conditionalFormatting>
  <conditionalFormatting sqref="G65:G72">
    <cfRule type="expression" dxfId="20" priority="5">
      <formula>E57="u"</formula>
    </cfRule>
  </conditionalFormatting>
  <conditionalFormatting sqref="I9:I16">
    <cfRule type="expression" dxfId="19" priority="32">
      <formula>G1="u"</formula>
    </cfRule>
  </conditionalFormatting>
  <conditionalFormatting sqref="I23:I27 I29:I30">
    <cfRule type="expression" dxfId="18" priority="25">
      <formula>G15="u"</formula>
    </cfRule>
  </conditionalFormatting>
  <conditionalFormatting sqref="I37:I39 I41 I43:I44">
    <cfRule type="expression" dxfId="17" priority="18">
      <formula>G29="u"</formula>
    </cfRule>
  </conditionalFormatting>
  <conditionalFormatting sqref="I51:I58">
    <cfRule type="expression" dxfId="16" priority="11">
      <formula>G43="u"</formula>
    </cfRule>
  </conditionalFormatting>
  <conditionalFormatting sqref="I65:I72">
    <cfRule type="expression" dxfId="15" priority="4">
      <formula>G57="u"</formula>
    </cfRule>
  </conditionalFormatting>
  <conditionalFormatting sqref="K9:K16">
    <cfRule type="expression" dxfId="14" priority="31">
      <formula>I1="u"</formula>
    </cfRule>
  </conditionalFormatting>
  <conditionalFormatting sqref="K23:K27 K29:K30">
    <cfRule type="expression" dxfId="13" priority="26">
      <formula>I15="u"</formula>
    </cfRule>
  </conditionalFormatting>
  <conditionalFormatting sqref="K37:K41 K43:K44">
    <cfRule type="expression" dxfId="12" priority="17">
      <formula>I29="u"</formula>
    </cfRule>
  </conditionalFormatting>
  <conditionalFormatting sqref="K51:K58">
    <cfRule type="expression" dxfId="11" priority="12">
      <formula>I43="u"</formula>
    </cfRule>
  </conditionalFormatting>
  <conditionalFormatting sqref="K65:K72">
    <cfRule type="expression" dxfId="10" priority="3">
      <formula>I57="u"</formula>
    </cfRule>
  </conditionalFormatting>
  <conditionalFormatting sqref="M9:M16">
    <cfRule type="expression" dxfId="9" priority="30">
      <formula>K1="u"</formula>
    </cfRule>
  </conditionalFormatting>
  <conditionalFormatting sqref="M23:M30">
    <cfRule type="expression" dxfId="8" priority="27">
      <formula>K15="u"</formula>
    </cfRule>
  </conditionalFormatting>
  <conditionalFormatting sqref="M37:M44">
    <cfRule type="expression" dxfId="7" priority="16">
      <formula>K29="u"</formula>
    </cfRule>
  </conditionalFormatting>
  <conditionalFormatting sqref="M51:M58">
    <cfRule type="expression" dxfId="6" priority="13">
      <formula>K43="u"</formula>
    </cfRule>
  </conditionalFormatting>
  <conditionalFormatting sqref="M65:M72">
    <cfRule type="expression" dxfId="5" priority="2">
      <formula>K57="u"</formula>
    </cfRule>
  </conditionalFormatting>
  <conditionalFormatting sqref="O9:O16">
    <cfRule type="expression" dxfId="4" priority="29">
      <formula>M1="u"</formula>
    </cfRule>
  </conditionalFormatting>
  <conditionalFormatting sqref="O23:O30">
    <cfRule type="expression" dxfId="3" priority="28">
      <formula>M15="u"</formula>
    </cfRule>
  </conditionalFormatting>
  <conditionalFormatting sqref="O37:O44">
    <cfRule type="expression" dxfId="2" priority="15">
      <formula>M29="u"</formula>
    </cfRule>
  </conditionalFormatting>
  <conditionalFormatting sqref="O51:O58">
    <cfRule type="expression" dxfId="1" priority="14">
      <formula>M43="u"</formula>
    </cfRule>
  </conditionalFormatting>
  <conditionalFormatting sqref="O65:O72">
    <cfRule type="expression" dxfId="0" priority="1">
      <formula>M57="u"</formula>
    </cfRule>
  </conditionalFormatting>
  <pageMargins left="0.7" right="0.7" top="0.75" bottom="0.75" header="0.3" footer="0.3"/>
  <pageSetup paperSize="9" scale="32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listopad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</dc:creator>
  <cp:lastModifiedBy>Aleksander Vizváry</cp:lastModifiedBy>
  <cp:lastPrinted>2026-06-06T11:41:49Z</cp:lastPrinted>
  <dcterms:created xsi:type="dcterms:W3CDTF">2020-12-21T15:35:56Z</dcterms:created>
  <dcterms:modified xsi:type="dcterms:W3CDTF">2026-07-14T00:39:03Z</dcterms:modified>
</cp:coreProperties>
</file>